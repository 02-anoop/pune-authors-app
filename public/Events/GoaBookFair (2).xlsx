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94A5E4BE-A392-42ED-90DF-01B1E0DC11EB}" xr6:coauthVersionLast="47" xr6:coauthVersionMax="47" xr10:uidLastSave="{00000000-0000-0000-0000-000000000000}"/>
  <bookViews>
    <workbookView xWindow="-108" yWindow="-108" windowWidth="23256" windowHeight="12456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8" i="8" l="1"/>
  <c r="F64" i="7"/>
  <c r="G64" i="7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F82" i="6"/>
  <c r="G82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F73" i="5"/>
  <c r="G73" i="5"/>
  <c r="I73" i="5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 s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 s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 s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 s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 s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 s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 s="1"/>
  <c r="Q84" i="2" l="1"/>
  <c r="H73" i="5"/>
  <c r="H82" i="6"/>
  <c r="Q57" i="4"/>
</calcChain>
</file>

<file path=xl/sharedStrings.xml><?xml version="1.0" encoding="utf-8"?>
<sst xmlns="http://schemas.openxmlformats.org/spreadsheetml/2006/main" count="1627" uniqueCount="279">
  <si>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</si>
  <si>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</si>
  <si>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</si>
  <si>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</si>
  <si>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</si>
  <si>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</si>
  <si>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</si>
  <si>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</si>
  <si>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</si>
  <si>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</si>
  <si>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</si>
  <si>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</si>
  <si>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</si>
  <si>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</si>
  <si>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</si>
  <si>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</si>
  <si>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</si>
  <si>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</si>
  <si>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</si>
  <si>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</si>
  <si>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</si>
  <si>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</si>
  <si>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</si>
  <si>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</si>
  <si>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</si>
  <si>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</si>
  <si>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</si>
  <si>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</si>
  <si>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</si>
  <si>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</si>
  <si>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</si>
  <si>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</si>
  <si>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</si>
  <si>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</si>
  <si>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</si>
  <si>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</si>
  <si>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</si>
  <si>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</si>
  <si>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</si>
  <si>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</si>
  <si>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</si>
  <si>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</si>
  <si>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</si>
  <si>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</si>
  <si>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</si>
  <si>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</si>
  <si>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</si>
  <si>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</si>
  <si>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</si>
  <si>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</si>
  <si>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</si>
  <si>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</si>
  <si>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</si>
  <si>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</si>
  <si>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</si>
  <si>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</si>
  <si>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</si>
  <si>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</si>
  <si>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</si>
  <si>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</si>
  <si>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</si>
  <si>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</si>
  <si>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</si>
  <si>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</si>
  <si>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</si>
  <si>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</si>
  <si>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</si>
  <si>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</si>
  <si>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</si>
  <si>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</si>
  <si>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</si>
  <si>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</si>
  <si>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</si>
  <si>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</si>
  <si>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</si>
  <si>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</si>
  <si>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</si>
  <si>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</si>
  <si>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</si>
  <si>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</si>
  <si>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</si>
  <si>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</si>
  <si>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</si>
  <si>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</si>
  <si>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</si>
  <si>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</si>
  <si>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</si>
  <si>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</si>
  <si>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</si>
  <si>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</si>
  <si>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</si>
  <si>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</si>
  <si>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</si>
  <si>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</si>
  <si>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</si>
  <si>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</si>
  <si>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</si>
  <si>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</si>
  <si>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</si>
  <si>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</si>
  <si>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</si>
  <si>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</si>
  <si>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</si>
  <si>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</si>
  <si>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</si>
  <si>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</si>
  <si>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</si>
  <si>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</si>
  <si>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</si>
  <si>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</si>
  <si>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</si>
  <si>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</si>
  <si>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</si>
  <si>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</si>
  <si>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</si>
  <si>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</si>
  <si>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</si>
  <si>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</si>
  <si>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</si>
  <si>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</si>
  <si>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</si>
  <si>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</si>
  <si>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</si>
  <si>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</si>
  <si>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</si>
  <si>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</si>
  <si>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</si>
  <si>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</si>
  <si>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</si>
  <si>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</si>
  <si>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</si>
  <si>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</si>
  <si>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</si>
  <si>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</si>
  <si>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</si>
  <si>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</si>
  <si>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</si>
  <si>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</si>
  <si>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</si>
  <si>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</si>
  <si>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</si>
  <si>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</si>
  <si>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</si>
  <si>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</si>
  <si>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</si>
  <si>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</si>
  <si>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</si>
  <si>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</si>
  <si>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</si>
  <si>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</si>
  <si>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</si>
  <si>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</si>
  <si>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</si>
  <si>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</si>
  <si>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</si>
  <si>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</si>
  <si>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</si>
  <si>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</si>
  <si>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</si>
  <si>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</si>
  <si>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</si>
  <si>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</si>
  <si>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</si>
  <si>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</si>
  <si>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</si>
  <si>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</si>
  <si>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</si>
  <si>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</si>
  <si>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</si>
  <si>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</si>
  <si>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</si>
  <si>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</si>
  <si>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</si>
  <si>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</si>
  <si>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</si>
  <si>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</si>
  <si>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</si>
  <si>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</si>
  <si>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</si>
  <si>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</si>
  <si>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</si>
  <si>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</si>
  <si>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</si>
  <si>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</si>
  <si>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</si>
  <si>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</si>
  <si>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</si>
  <si>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</si>
  <si>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</si>
  <si>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</si>
  <si>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</si>
  <si>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</si>
  <si>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</si>
  <si>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</si>
  <si>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Sacred Silences : War, Love, Loss</t>
  </si>
  <si>
    <t>Scarscript : Inked in Fire, Etched in Fate</t>
  </si>
  <si>
    <t>Actual Number of
 Copies that the 
author sent</t>
  </si>
  <si>
    <t xml:space="preserve">           LIST OF BOOKS JAMMU FAIR (1-5 Aug 2026) 29 Registered Authors</t>
  </si>
  <si>
    <t>LIST OF BOOKS FOR MANGALORE AIRPORT LIBRARY</t>
  </si>
  <si>
    <t>Children's</t>
  </si>
  <si>
    <t>Genre</t>
  </si>
  <si>
    <t>Quantity</t>
  </si>
  <si>
    <t>Paid</t>
  </si>
  <si>
    <t>Non-Fiction</t>
  </si>
  <si>
    <t>Yes</t>
  </si>
  <si>
    <t>Fiction</t>
  </si>
  <si>
    <t>Pages of Power</t>
  </si>
  <si>
    <t>Blind Until Blessed</t>
  </si>
  <si>
    <t>Manisha Memane</t>
  </si>
  <si>
    <t>The Whimsical Tales of Whispers &amp; Wonders</t>
  </si>
  <si>
    <t>The Quest of my Lost Love</t>
  </si>
  <si>
    <t>Riya Menghani</t>
  </si>
  <si>
    <t>Poetry</t>
  </si>
  <si>
    <t>Diya Santosh</t>
  </si>
  <si>
    <t>Stoned</t>
  </si>
  <si>
    <t>Saroj Salelkar</t>
  </si>
  <si>
    <t>Whispers from the Womb</t>
  </si>
  <si>
    <t>The 1 Second Shift to Emotopnal Resilience</t>
  </si>
  <si>
    <t>The 1 Second Shift to Emotopnal Resilience Workbook</t>
  </si>
  <si>
    <t>Sam Steel and the School of Undead</t>
  </si>
  <si>
    <t>Sanmay Salelkar</t>
  </si>
  <si>
    <t>Sonarelle</t>
  </si>
  <si>
    <t>Peers &amp; Fears</t>
  </si>
  <si>
    <t>Dare Dream Travel</t>
  </si>
  <si>
    <t>Humour Beyond Borders</t>
  </si>
  <si>
    <t>TOTAL NUMBER OF BOOKS DONATED FOR MANGALORE AIRPORT - by 68 titles</t>
  </si>
  <si>
    <t>Domestic
 Terminal</t>
  </si>
  <si>
    <t>International
 Terminal</t>
  </si>
  <si>
    <t>Total Number of 
Books Donated
 Title Wise</t>
  </si>
  <si>
    <t>Books
 Received</t>
  </si>
  <si>
    <t>LIST OF BOOKS FOR KOLKATTA AIRPORT LIBRARY</t>
  </si>
  <si>
    <t>Women  of History</t>
  </si>
  <si>
    <t>Stories of Courage - Vol-1</t>
  </si>
  <si>
    <t>Stories of Courage - Vol-2</t>
  </si>
  <si>
    <t>Stories of Courage - Vol-3</t>
  </si>
  <si>
    <t>Mystrious Pinewood</t>
  </si>
  <si>
    <t>War of Worth</t>
  </si>
  <si>
    <t>EnQ Mantra</t>
  </si>
  <si>
    <t>Dream, Build, Scale</t>
  </si>
  <si>
    <t>Geetmala Jalota</t>
  </si>
  <si>
    <t>The Baby Burped on my Battledress</t>
  </si>
  <si>
    <t>Borrowed Identity</t>
  </si>
  <si>
    <t>Peers and Fears</t>
  </si>
  <si>
    <t>Enlightened Manager</t>
  </si>
  <si>
    <t>Vishwanath Alluri</t>
  </si>
  <si>
    <t>In her Tiny Shoes</t>
  </si>
  <si>
    <t>TOTAL NUMBER OF BOOKS DONATED FOR KOLKATA AIRPORT (Total 74 titles)</t>
  </si>
  <si>
    <t>Quantity Sent
 in Mar 26</t>
  </si>
  <si>
    <t>Quantity Sent
 in Apr 26</t>
  </si>
  <si>
    <t>Total No of 
Books Donated</t>
  </si>
  <si>
    <t>LIST OF BOOKS FOR THIRUVANANTHAPURAM AIRPORT LIBRARY (Collect, Pack, Send &amp; Share the Courier Cost)</t>
  </si>
  <si>
    <t>Shiva's Cave in Pune</t>
  </si>
  <si>
    <t>Chetna in Mumbai</t>
  </si>
  <si>
    <t>Already handed over</t>
  </si>
  <si>
    <t>No</t>
  </si>
  <si>
    <t>In Their Tiny Shoes</t>
  </si>
  <si>
    <t xml:space="preserve">Dream Build Scale </t>
  </si>
  <si>
    <t>Direct to Trivendrum</t>
  </si>
  <si>
    <t>Dare Dream  Travel</t>
  </si>
  <si>
    <t>TOTAL NUMBER OF BOOKS DONATED FOR TIRUVANANTHAPURAM AIRPORT (Total 58 Titles books)</t>
  </si>
  <si>
    <t>Collection Point 
for Dispatch</t>
  </si>
  <si>
    <t>Books
 Available or  
Received</t>
  </si>
  <si>
    <t>Voted 
or Not</t>
  </si>
  <si>
    <t>LIST OF BOOKS FOR PUNE AIRPORT FLYBRARY JUN 2026</t>
  </si>
  <si>
    <t>Children</t>
  </si>
  <si>
    <t>OOPS ! I Messed Up Again</t>
  </si>
  <si>
    <t>Ari Tamang</t>
  </si>
  <si>
    <t>Equinox</t>
  </si>
  <si>
    <t>Madhuri Maitra</t>
  </si>
  <si>
    <t>A Scientific Look</t>
  </si>
  <si>
    <t>Anil Vishnu Moharir</t>
  </si>
  <si>
    <t>Science and Relevance of Vedic Concepts</t>
  </si>
  <si>
    <t>GenZ : Pause Slow Down to Slay</t>
  </si>
  <si>
    <t>Wish You Were Here</t>
  </si>
  <si>
    <t>Whispers of the Heart</t>
  </si>
  <si>
    <t>The Baby Burped on My Battledress</t>
  </si>
  <si>
    <t>Irsi ? Iris</t>
  </si>
  <si>
    <t>Luminaire</t>
  </si>
  <si>
    <t>TOTAL NUMBER OF BOOKS DONATED TO THE PUNE AIRPORT (Total 48 Titles/books)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</si>
</sst>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vertical="center"/>
    </xf>
    <xf numFmtId="0" fontId="2" fillId="5" borderId="18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14" borderId="17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vertical="center"/>
    </xf>
    <xf numFmtId="0" fontId="2" fillId="12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left" vertical="top"/>
    </xf>
    <xf numFmtId="0" fontId="2" fillId="12" borderId="17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0" fontId="2" fillId="5" borderId="10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vertical="center"/>
    </xf>
    <xf numFmtId="0" fontId="2" fillId="8" borderId="10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vertical="center"/>
    </xf>
    <xf numFmtId="0" fontId="3" fillId="7" borderId="20" xfId="0" applyFont="1" applyFill="1" applyBorder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14" borderId="2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left" vertical="center"/>
    </xf>
    <xf numFmtId="0" fontId="3" fillId="7" borderId="30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/>
    </xf>
    <xf numFmtId="0" fontId="3" fillId="13" borderId="30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16" borderId="8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vertical="center"/>
    </xf>
    <xf numFmtId="0" fontId="2" fillId="17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8" fillId="18" borderId="37" xfId="0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8" fillId="18" borderId="38" xfId="0" applyFont="1" applyFill="1" applyBorder="1" applyAlignment="1">
      <alignment horizontal="center" vertical="center"/>
    </xf>
    <xf numFmtId="0" fontId="8" fillId="17" borderId="38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6" borderId="8" xfId="0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left" vertical="center"/>
    </xf>
    <xf numFmtId="0" fontId="2" fillId="8" borderId="5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8" fillId="18" borderId="35" xfId="0" applyFont="1" applyFill="1" applyBorder="1" applyAlignment="1">
      <alignment horizontal="center" vertical="center"/>
    </xf>
    <xf numFmtId="0" fontId="8" fillId="18" borderId="37" xfId="0" applyFont="1" applyFill="1" applyBorder="1" applyAlignment="1">
      <alignment horizontal="center" vertical="center"/>
    </xf>
    <xf numFmtId="0" fontId="8" fillId="18" borderId="3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3" fillId="3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3" fillId="3" borderId="28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3" fillId="3" borderId="42" xfId="0" applyFont="1" applyFill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3" fillId="3" borderId="23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3" fillId="3" borderId="42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abSelected="1" workbookViewId="0">
      <selection sqref="A1:M1"/>
    </sheetView>
  </sheetViews>
  <sheetFormatPr defaultRowHeight="14.4"/>
  <cols>
    <col min="2" max="2" width="84" customWidth="1"/>
    <col min="4" max="4" width="37.88671875" customWidth="1"/>
    <col min="5" max="5" width="19.5546875" customWidth="1"/>
    <col min="6" max="6" width="32.44140625" customWidth="1"/>
    <col min="7" max="7" width="19.6640625" customWidth="1"/>
    <col min="8" max="8" width="16.33203125" customWidth="1"/>
    <col min="9" max="9" width="19.5546875" customWidth="1"/>
    <col min="10" max="10" width="17" customWidth="1"/>
    <col min="11" max="11" width="19" customWidth="1"/>
    <col min="12" max="12" width="23.88671875" customWidth="1"/>
    <col min="13" max="13" width="29.109375" customWidth="1"/>
  </cols>
  <sheetData>
    <row r="1" spans="1:14" ht="17.399999999999999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1"/>
    </row>
    <row r="2" spans="1:14">
      <c r="A2" s="86" t="s">
        <v>1</v>
      </c>
      <c r="B2" s="88" t="s">
        <v>2</v>
      </c>
      <c r="C2" s="88" t="s">
        <v>3</v>
      </c>
      <c r="D2" s="88" t="s">
        <v>4</v>
      </c>
      <c r="E2" s="88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92" t="s">
        <v>10</v>
      </c>
      <c r="K2" s="92" t="s">
        <v>11</v>
      </c>
      <c r="L2" s="92" t="s">
        <v>12</v>
      </c>
      <c r="M2" s="92" t="s">
        <v>13</v>
      </c>
      <c r="N2" s="1"/>
    </row>
    <row r="3" spans="1:14">
      <c r="A3" s="87"/>
      <c r="B3" s="89"/>
      <c r="C3" s="89"/>
      <c r="D3" s="89"/>
      <c r="E3" s="89"/>
      <c r="F3" s="93"/>
      <c r="G3" s="93"/>
      <c r="H3" s="93"/>
      <c r="I3" s="93"/>
      <c r="J3" s="93"/>
      <c r="K3" s="93"/>
      <c r="L3" s="93"/>
      <c r="M3" s="93"/>
      <c r="N3" s="1"/>
    </row>
    <row r="4" spans="1:14" ht="15.6">
      <c r="A4" s="10">
        <v>1</v>
      </c>
      <c r="B4" s="11" t="s">
        <v>14</v>
      </c>
      <c r="C4" s="12">
        <v>300</v>
      </c>
      <c r="D4" s="13" t="s">
        <v>15</v>
      </c>
      <c r="E4" s="14" t="s">
        <v>16</v>
      </c>
      <c r="F4" s="15">
        <v>12</v>
      </c>
      <c r="G4" s="4">
        <v>1</v>
      </c>
      <c r="H4" s="4">
        <v>2</v>
      </c>
      <c r="I4" s="4">
        <v>4</v>
      </c>
      <c r="J4" s="4">
        <v>3</v>
      </c>
      <c r="K4" s="4">
        <v>2</v>
      </c>
      <c r="L4" s="4">
        <f t="shared" ref="L4:L35" si="0">SUM(G4:K4)</f>
        <v>12</v>
      </c>
      <c r="M4" s="4">
        <f t="shared" ref="M4:M35" si="1">F4-L4</f>
        <v>0</v>
      </c>
      <c r="N4" s="1"/>
    </row>
    <row r="5" spans="1:14" ht="15.6">
      <c r="A5" s="10">
        <v>2</v>
      </c>
      <c r="B5" s="11" t="s">
        <v>17</v>
      </c>
      <c r="C5" s="12">
        <v>600</v>
      </c>
      <c r="D5" s="13" t="s">
        <v>15</v>
      </c>
      <c r="E5" s="14" t="s">
        <v>16</v>
      </c>
      <c r="F5" s="15">
        <v>6</v>
      </c>
      <c r="G5" s="4">
        <v>1</v>
      </c>
      <c r="H5" s="4">
        <v>1</v>
      </c>
      <c r="I5" s="4">
        <v>2</v>
      </c>
      <c r="J5" s="4">
        <v>0</v>
      </c>
      <c r="K5" s="4">
        <v>2</v>
      </c>
      <c r="L5" s="4">
        <f t="shared" si="0"/>
        <v>6</v>
      </c>
      <c r="M5" s="4">
        <f t="shared" si="1"/>
        <v>0</v>
      </c>
      <c r="N5" s="1"/>
    </row>
    <row r="6" spans="1:14" ht="15.6">
      <c r="A6" s="10">
        <v>3</v>
      </c>
      <c r="B6" s="11" t="s">
        <v>18</v>
      </c>
      <c r="C6" s="12">
        <v>350</v>
      </c>
      <c r="D6" s="13" t="s">
        <v>15</v>
      </c>
      <c r="E6" s="14" t="s">
        <v>16</v>
      </c>
      <c r="F6" s="15">
        <v>6</v>
      </c>
      <c r="G6" s="4">
        <v>2</v>
      </c>
      <c r="H6" s="4">
        <v>0</v>
      </c>
      <c r="I6" s="4">
        <v>0</v>
      </c>
      <c r="J6" s="4">
        <v>2</v>
      </c>
      <c r="K6" s="4">
        <v>2</v>
      </c>
      <c r="L6" s="4">
        <f t="shared" si="0"/>
        <v>6</v>
      </c>
      <c r="M6" s="4">
        <f t="shared" si="1"/>
        <v>0</v>
      </c>
      <c r="N6" s="1"/>
    </row>
    <row r="7" spans="1:14" ht="15.6">
      <c r="A7" s="10">
        <v>4</v>
      </c>
      <c r="B7" s="11" t="s">
        <v>19</v>
      </c>
      <c r="C7" s="12">
        <v>480</v>
      </c>
      <c r="D7" s="13" t="s">
        <v>15</v>
      </c>
      <c r="E7" s="14" t="s">
        <v>16</v>
      </c>
      <c r="F7" s="15">
        <v>10</v>
      </c>
      <c r="G7" s="4">
        <v>3</v>
      </c>
      <c r="H7" s="4">
        <v>3</v>
      </c>
      <c r="I7" s="4">
        <v>3</v>
      </c>
      <c r="J7" s="4">
        <v>1</v>
      </c>
      <c r="K7" s="4">
        <v>0</v>
      </c>
      <c r="L7" s="4">
        <f t="shared" si="0"/>
        <v>10</v>
      </c>
      <c r="M7" s="4">
        <f t="shared" si="1"/>
        <v>0</v>
      </c>
      <c r="N7" s="1"/>
    </row>
    <row r="8" spans="1:14" ht="15.6">
      <c r="A8" s="10">
        <v>5</v>
      </c>
      <c r="B8" s="11" t="s">
        <v>20</v>
      </c>
      <c r="C8" s="12"/>
      <c r="D8" s="13" t="s">
        <v>21</v>
      </c>
      <c r="E8" s="14">
        <v>500</v>
      </c>
      <c r="F8" s="15">
        <v>7</v>
      </c>
      <c r="G8" s="4">
        <v>0</v>
      </c>
      <c r="H8" s="4">
        <v>2</v>
      </c>
      <c r="I8" s="4">
        <v>1</v>
      </c>
      <c r="J8" s="4">
        <v>0</v>
      </c>
      <c r="K8" s="4">
        <v>0</v>
      </c>
      <c r="L8" s="4">
        <f t="shared" si="0"/>
        <v>3</v>
      </c>
      <c r="M8" s="4">
        <f t="shared" si="1"/>
        <v>4</v>
      </c>
      <c r="N8" s="1"/>
    </row>
    <row r="9" spans="1:14" ht="15.6">
      <c r="A9" s="10">
        <v>6</v>
      </c>
      <c r="B9" s="11" t="s">
        <v>22</v>
      </c>
      <c r="C9" s="12"/>
      <c r="D9" s="13" t="s">
        <v>21</v>
      </c>
      <c r="E9" s="14">
        <v>500</v>
      </c>
      <c r="F9" s="15">
        <v>7</v>
      </c>
      <c r="G9" s="4">
        <v>5</v>
      </c>
      <c r="H9" s="4">
        <v>0</v>
      </c>
      <c r="I9" s="4">
        <v>2</v>
      </c>
      <c r="J9" s="4">
        <v>0</v>
      </c>
      <c r="K9" s="4">
        <v>0</v>
      </c>
      <c r="L9" s="4">
        <f t="shared" si="0"/>
        <v>7</v>
      </c>
      <c r="M9" s="4">
        <f t="shared" si="1"/>
        <v>0</v>
      </c>
      <c r="N9" s="1"/>
    </row>
    <row r="10" spans="1:14" ht="15.6">
      <c r="A10" s="10">
        <v>7</v>
      </c>
      <c r="B10" s="11" t="s">
        <v>23</v>
      </c>
      <c r="C10" s="12"/>
      <c r="D10" s="13" t="s">
        <v>24</v>
      </c>
      <c r="E10" s="14" t="s">
        <v>16</v>
      </c>
      <c r="F10" s="15">
        <v>2</v>
      </c>
      <c r="G10" s="4">
        <v>1</v>
      </c>
      <c r="H10" s="4">
        <v>0</v>
      </c>
      <c r="I10" s="4">
        <v>0</v>
      </c>
      <c r="J10" s="4">
        <v>1</v>
      </c>
      <c r="K10" s="4">
        <v>0</v>
      </c>
      <c r="L10" s="4">
        <f t="shared" si="0"/>
        <v>2</v>
      </c>
      <c r="M10" s="4">
        <f t="shared" si="1"/>
        <v>0</v>
      </c>
      <c r="N10" s="1"/>
    </row>
    <row r="11" spans="1:14" ht="15.6">
      <c r="A11" s="10">
        <v>8</v>
      </c>
      <c r="B11" s="11" t="s">
        <v>25</v>
      </c>
      <c r="C11" s="12"/>
      <c r="D11" s="13" t="s">
        <v>24</v>
      </c>
      <c r="E11" s="14" t="s">
        <v>16</v>
      </c>
      <c r="F11" s="15">
        <v>10</v>
      </c>
      <c r="G11" s="4">
        <v>2</v>
      </c>
      <c r="H11" s="4">
        <v>0</v>
      </c>
      <c r="I11" s="4">
        <v>0</v>
      </c>
      <c r="J11" s="4">
        <v>0</v>
      </c>
      <c r="K11" s="4">
        <v>8</v>
      </c>
      <c r="L11" s="4">
        <f t="shared" si="0"/>
        <v>10</v>
      </c>
      <c r="M11" s="4">
        <f t="shared" si="1"/>
        <v>0</v>
      </c>
      <c r="N11" s="1"/>
    </row>
    <row r="12" spans="1:14" ht="15.6">
      <c r="A12" s="10">
        <v>9</v>
      </c>
      <c r="B12" s="11" t="s">
        <v>26</v>
      </c>
      <c r="C12" s="12"/>
      <c r="D12" s="13" t="s">
        <v>24</v>
      </c>
      <c r="E12" s="14" t="s">
        <v>16</v>
      </c>
      <c r="F12" s="15">
        <v>14</v>
      </c>
      <c r="G12" s="4">
        <v>4</v>
      </c>
      <c r="H12" s="4">
        <v>4</v>
      </c>
      <c r="I12" s="4">
        <v>1</v>
      </c>
      <c r="J12" s="4">
        <v>5</v>
      </c>
      <c r="K12" s="4">
        <v>0</v>
      </c>
      <c r="L12" s="4">
        <f t="shared" si="0"/>
        <v>14</v>
      </c>
      <c r="M12" s="4">
        <f t="shared" si="1"/>
        <v>0</v>
      </c>
      <c r="N12" s="1"/>
    </row>
    <row r="13" spans="1:14" ht="15.6">
      <c r="A13" s="10">
        <v>10</v>
      </c>
      <c r="B13" s="11" t="s">
        <v>27</v>
      </c>
      <c r="C13" s="12"/>
      <c r="D13" s="13" t="s">
        <v>24</v>
      </c>
      <c r="E13" s="14" t="s">
        <v>16</v>
      </c>
      <c r="F13" s="15">
        <v>8</v>
      </c>
      <c r="G13" s="4">
        <v>1</v>
      </c>
      <c r="H13" s="4">
        <v>1</v>
      </c>
      <c r="I13" s="4">
        <v>2</v>
      </c>
      <c r="J13" s="4">
        <v>4</v>
      </c>
      <c r="K13" s="4">
        <v>0</v>
      </c>
      <c r="L13" s="4">
        <f t="shared" si="0"/>
        <v>8</v>
      </c>
      <c r="M13" s="4">
        <f t="shared" si="1"/>
        <v>0</v>
      </c>
      <c r="N13" s="1"/>
    </row>
    <row r="14" spans="1:14" ht="15.6">
      <c r="A14" s="10">
        <v>11</v>
      </c>
      <c r="B14" s="11" t="s">
        <v>28</v>
      </c>
      <c r="C14" s="12"/>
      <c r="D14" s="13" t="s">
        <v>24</v>
      </c>
      <c r="E14" s="14" t="s">
        <v>16</v>
      </c>
      <c r="F14" s="15">
        <v>9</v>
      </c>
      <c r="G14" s="4">
        <v>0</v>
      </c>
      <c r="H14" s="4">
        <v>3</v>
      </c>
      <c r="I14" s="4">
        <v>3</v>
      </c>
      <c r="J14" s="4">
        <v>2</v>
      </c>
      <c r="K14" s="4">
        <v>1</v>
      </c>
      <c r="L14" s="4">
        <f t="shared" si="0"/>
        <v>9</v>
      </c>
      <c r="M14" s="4">
        <f t="shared" si="1"/>
        <v>0</v>
      </c>
      <c r="N14" s="1"/>
    </row>
    <row r="15" spans="1:14" ht="15.6">
      <c r="A15" s="10">
        <v>12</v>
      </c>
      <c r="B15" s="11" t="s">
        <v>29</v>
      </c>
      <c r="C15" s="12"/>
      <c r="D15" s="13" t="s">
        <v>24</v>
      </c>
      <c r="E15" s="14" t="s">
        <v>16</v>
      </c>
      <c r="F15" s="15">
        <v>11</v>
      </c>
      <c r="G15" s="4">
        <v>1</v>
      </c>
      <c r="H15" s="4">
        <v>4</v>
      </c>
      <c r="I15" s="4">
        <v>3</v>
      </c>
      <c r="J15" s="4">
        <v>0</v>
      </c>
      <c r="K15" s="4">
        <v>3</v>
      </c>
      <c r="L15" s="4">
        <f t="shared" si="0"/>
        <v>11</v>
      </c>
      <c r="M15" s="4">
        <f t="shared" si="1"/>
        <v>0</v>
      </c>
      <c r="N15" s="1"/>
    </row>
    <row r="16" spans="1:14" ht="15.6">
      <c r="A16" s="10">
        <v>13</v>
      </c>
      <c r="B16" s="11" t="s">
        <v>30</v>
      </c>
      <c r="C16" s="12"/>
      <c r="D16" s="13" t="s">
        <v>31</v>
      </c>
      <c r="E16" s="14">
        <v>500</v>
      </c>
      <c r="F16" s="15">
        <v>7</v>
      </c>
      <c r="G16" s="4">
        <v>0</v>
      </c>
      <c r="H16" s="4">
        <v>2</v>
      </c>
      <c r="I16" s="4">
        <v>0</v>
      </c>
      <c r="J16" s="4">
        <v>2</v>
      </c>
      <c r="K16" s="4">
        <v>0</v>
      </c>
      <c r="L16" s="4">
        <f t="shared" si="0"/>
        <v>4</v>
      </c>
      <c r="M16" s="4">
        <f t="shared" si="1"/>
        <v>3</v>
      </c>
      <c r="N16" s="1"/>
    </row>
    <row r="17" spans="1:14" ht="15.6">
      <c r="A17" s="10">
        <v>14</v>
      </c>
      <c r="B17" s="11" t="s">
        <v>32</v>
      </c>
      <c r="C17" s="12"/>
      <c r="D17" s="13" t="s">
        <v>31</v>
      </c>
      <c r="E17" s="14">
        <v>500</v>
      </c>
      <c r="F17" s="15">
        <v>8</v>
      </c>
      <c r="G17" s="4">
        <v>0</v>
      </c>
      <c r="H17" s="5">
        <v>3</v>
      </c>
      <c r="I17" s="4">
        <v>0</v>
      </c>
      <c r="J17" s="4">
        <v>3</v>
      </c>
      <c r="K17" s="4">
        <v>2</v>
      </c>
      <c r="L17" s="4">
        <f t="shared" si="0"/>
        <v>8</v>
      </c>
      <c r="M17" s="4">
        <f t="shared" si="1"/>
        <v>0</v>
      </c>
      <c r="N17" s="1"/>
    </row>
    <row r="18" spans="1:14" ht="15.6">
      <c r="A18" s="10">
        <v>15</v>
      </c>
      <c r="B18" s="11" t="s">
        <v>33</v>
      </c>
      <c r="C18" s="12"/>
      <c r="D18" s="13" t="s">
        <v>34</v>
      </c>
      <c r="E18" s="14">
        <v>500</v>
      </c>
      <c r="F18" s="15"/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f t="shared" si="0"/>
        <v>0</v>
      </c>
      <c r="M18" s="4">
        <f t="shared" si="1"/>
        <v>0</v>
      </c>
      <c r="N18" s="1"/>
    </row>
    <row r="19" spans="1:14" ht="15.6">
      <c r="A19" s="10">
        <v>16</v>
      </c>
      <c r="B19" s="11" t="s">
        <v>35</v>
      </c>
      <c r="C19" s="12">
        <v>500</v>
      </c>
      <c r="D19" s="13" t="s">
        <v>36</v>
      </c>
      <c r="E19" s="14">
        <v>500</v>
      </c>
      <c r="F19" s="15">
        <v>7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f t="shared" si="0"/>
        <v>0</v>
      </c>
      <c r="M19" s="4">
        <f t="shared" si="1"/>
        <v>7</v>
      </c>
      <c r="N19" s="1"/>
    </row>
    <row r="20" spans="1:14" ht="15.6">
      <c r="A20" s="10">
        <v>17</v>
      </c>
      <c r="B20" s="11" t="s">
        <v>37</v>
      </c>
      <c r="C20" s="12">
        <v>399</v>
      </c>
      <c r="D20" s="13" t="s">
        <v>38</v>
      </c>
      <c r="E20" s="14" t="s">
        <v>16</v>
      </c>
      <c r="F20" s="15">
        <v>27</v>
      </c>
      <c r="G20" s="4">
        <v>2</v>
      </c>
      <c r="H20" s="4">
        <v>2</v>
      </c>
      <c r="I20" s="4">
        <v>7</v>
      </c>
      <c r="J20" s="4">
        <v>3</v>
      </c>
      <c r="K20" s="4">
        <v>13</v>
      </c>
      <c r="L20" s="4">
        <f t="shared" si="0"/>
        <v>27</v>
      </c>
      <c r="M20" s="4">
        <f t="shared" si="1"/>
        <v>0</v>
      </c>
      <c r="N20" s="1"/>
    </row>
    <row r="21" spans="1:14" ht="15.6">
      <c r="A21" s="10">
        <v>18</v>
      </c>
      <c r="B21" s="11" t="s">
        <v>39</v>
      </c>
      <c r="C21" s="12">
        <v>299</v>
      </c>
      <c r="D21" s="13" t="s">
        <v>38</v>
      </c>
      <c r="E21" s="14" t="s">
        <v>16</v>
      </c>
      <c r="F21" s="15">
        <v>29</v>
      </c>
      <c r="G21" s="4">
        <v>7</v>
      </c>
      <c r="H21" s="4">
        <v>3</v>
      </c>
      <c r="I21" s="4">
        <v>7</v>
      </c>
      <c r="J21" s="4">
        <v>11</v>
      </c>
      <c r="K21" s="4">
        <v>1</v>
      </c>
      <c r="L21" s="4">
        <f t="shared" si="0"/>
        <v>29</v>
      </c>
      <c r="M21" s="4">
        <f t="shared" si="1"/>
        <v>0</v>
      </c>
      <c r="N21" s="1"/>
    </row>
    <row r="22" spans="1:14" ht="15.6">
      <c r="A22" s="10">
        <v>19</v>
      </c>
      <c r="B22" s="11" t="s">
        <v>40</v>
      </c>
      <c r="C22" s="12"/>
      <c r="D22" s="13" t="s">
        <v>41</v>
      </c>
      <c r="E22" s="14">
        <v>500</v>
      </c>
      <c r="F22" s="15">
        <v>10</v>
      </c>
      <c r="G22" s="4">
        <v>0</v>
      </c>
      <c r="H22" s="4">
        <v>1</v>
      </c>
      <c r="I22" s="4">
        <v>6</v>
      </c>
      <c r="J22" s="4">
        <v>1</v>
      </c>
      <c r="K22" s="4">
        <v>2</v>
      </c>
      <c r="L22" s="4">
        <f t="shared" si="0"/>
        <v>10</v>
      </c>
      <c r="M22" s="4">
        <f t="shared" si="1"/>
        <v>0</v>
      </c>
      <c r="N22" s="1"/>
    </row>
    <row r="23" spans="1:14" ht="15.6">
      <c r="A23" s="10">
        <v>20</v>
      </c>
      <c r="B23" s="11" t="s">
        <v>42</v>
      </c>
      <c r="C23" s="12"/>
      <c r="D23" s="13" t="s">
        <v>41</v>
      </c>
      <c r="E23" s="14">
        <v>500</v>
      </c>
      <c r="F23" s="15">
        <v>10</v>
      </c>
      <c r="G23" s="4">
        <v>0</v>
      </c>
      <c r="H23" s="4">
        <v>1</v>
      </c>
      <c r="I23" s="4">
        <v>5</v>
      </c>
      <c r="J23" s="4">
        <v>2</v>
      </c>
      <c r="K23" s="4">
        <v>0</v>
      </c>
      <c r="L23" s="4">
        <f t="shared" si="0"/>
        <v>8</v>
      </c>
      <c r="M23" s="4">
        <f t="shared" si="1"/>
        <v>2</v>
      </c>
      <c r="N23" s="1"/>
    </row>
    <row r="24" spans="1:14" ht="15.6">
      <c r="A24" s="10">
        <v>21</v>
      </c>
      <c r="B24" s="11" t="s">
        <v>43</v>
      </c>
      <c r="C24" s="12"/>
      <c r="D24" s="13" t="s">
        <v>41</v>
      </c>
      <c r="E24" s="14">
        <v>500</v>
      </c>
      <c r="F24" s="15">
        <v>10</v>
      </c>
      <c r="G24" s="4">
        <v>0</v>
      </c>
      <c r="H24" s="4">
        <v>1</v>
      </c>
      <c r="I24" s="4">
        <v>1</v>
      </c>
      <c r="J24" s="4">
        <v>1</v>
      </c>
      <c r="K24" s="4">
        <v>3</v>
      </c>
      <c r="L24" s="4">
        <f t="shared" si="0"/>
        <v>6</v>
      </c>
      <c r="M24" s="4">
        <f t="shared" si="1"/>
        <v>4</v>
      </c>
      <c r="N24" s="1"/>
    </row>
    <row r="25" spans="1:14" ht="15.6">
      <c r="A25" s="10">
        <v>22</v>
      </c>
      <c r="B25" s="11" t="s">
        <v>44</v>
      </c>
      <c r="C25" s="12"/>
      <c r="D25" s="13" t="s">
        <v>45</v>
      </c>
      <c r="E25" s="14">
        <v>500</v>
      </c>
      <c r="F25" s="15">
        <v>7</v>
      </c>
      <c r="G25" s="4">
        <v>0</v>
      </c>
      <c r="H25" s="4">
        <v>0</v>
      </c>
      <c r="I25" s="4">
        <v>1</v>
      </c>
      <c r="J25" s="4">
        <v>2</v>
      </c>
      <c r="K25" s="4">
        <v>2</v>
      </c>
      <c r="L25" s="4">
        <f t="shared" si="0"/>
        <v>5</v>
      </c>
      <c r="M25" s="4">
        <f t="shared" si="1"/>
        <v>2</v>
      </c>
      <c r="N25" s="1"/>
    </row>
    <row r="26" spans="1:14" ht="15.6">
      <c r="A26" s="10">
        <v>23</v>
      </c>
      <c r="B26" s="11" t="s">
        <v>46</v>
      </c>
      <c r="C26" s="12"/>
      <c r="D26" s="13" t="s">
        <v>47</v>
      </c>
      <c r="E26" s="14">
        <v>500</v>
      </c>
      <c r="F26" s="15">
        <v>4</v>
      </c>
      <c r="G26" s="4">
        <v>0</v>
      </c>
      <c r="H26" s="4">
        <v>0</v>
      </c>
      <c r="I26" s="4">
        <v>0</v>
      </c>
      <c r="J26" s="4">
        <v>1</v>
      </c>
      <c r="K26" s="4">
        <v>2</v>
      </c>
      <c r="L26" s="4">
        <f t="shared" si="0"/>
        <v>3</v>
      </c>
      <c r="M26" s="4">
        <f t="shared" si="1"/>
        <v>1</v>
      </c>
      <c r="N26" s="1"/>
    </row>
    <row r="27" spans="1:14" ht="15.6">
      <c r="A27" s="10">
        <v>24</v>
      </c>
      <c r="B27" s="11" t="s">
        <v>48</v>
      </c>
      <c r="C27" s="12"/>
      <c r="D27" s="13" t="s">
        <v>49</v>
      </c>
      <c r="E27" s="14">
        <v>500</v>
      </c>
      <c r="F27" s="15">
        <v>6</v>
      </c>
      <c r="G27" s="4">
        <v>1</v>
      </c>
      <c r="H27" s="4">
        <v>0</v>
      </c>
      <c r="I27" s="4">
        <v>3</v>
      </c>
      <c r="J27" s="4">
        <v>2</v>
      </c>
      <c r="K27" s="4">
        <v>0</v>
      </c>
      <c r="L27" s="4">
        <f t="shared" si="0"/>
        <v>6</v>
      </c>
      <c r="M27" s="4">
        <f t="shared" si="1"/>
        <v>0</v>
      </c>
      <c r="N27" s="1"/>
    </row>
    <row r="28" spans="1:14" ht="15.6">
      <c r="A28" s="10">
        <v>25</v>
      </c>
      <c r="B28" s="11" t="s">
        <v>50</v>
      </c>
      <c r="C28" s="12"/>
      <c r="D28" s="13" t="s">
        <v>49</v>
      </c>
      <c r="E28" s="14">
        <v>500</v>
      </c>
      <c r="F28" s="15">
        <v>7</v>
      </c>
      <c r="G28" s="4">
        <v>0</v>
      </c>
      <c r="H28" s="4">
        <v>2</v>
      </c>
      <c r="I28" s="4">
        <v>0</v>
      </c>
      <c r="J28" s="4">
        <v>2</v>
      </c>
      <c r="K28" s="4">
        <v>2</v>
      </c>
      <c r="L28" s="4">
        <f t="shared" si="0"/>
        <v>6</v>
      </c>
      <c r="M28" s="4">
        <f t="shared" si="1"/>
        <v>1</v>
      </c>
      <c r="N28" s="1"/>
    </row>
    <row r="29" spans="1:14" ht="15.6">
      <c r="A29" s="10">
        <v>26</v>
      </c>
      <c r="B29" s="11" t="s">
        <v>51</v>
      </c>
      <c r="C29" s="12"/>
      <c r="D29" s="13" t="s">
        <v>52</v>
      </c>
      <c r="E29" s="14">
        <v>500</v>
      </c>
      <c r="F29" s="15">
        <v>6</v>
      </c>
      <c r="G29" s="4">
        <v>0</v>
      </c>
      <c r="H29" s="4">
        <v>0</v>
      </c>
      <c r="I29" s="4">
        <v>1</v>
      </c>
      <c r="J29" s="4">
        <v>5</v>
      </c>
      <c r="K29" s="4">
        <v>0</v>
      </c>
      <c r="L29" s="4">
        <f t="shared" si="0"/>
        <v>6</v>
      </c>
      <c r="M29" s="4">
        <f t="shared" si="1"/>
        <v>0</v>
      </c>
      <c r="N29" s="1"/>
    </row>
    <row r="30" spans="1:14" ht="15.6">
      <c r="A30" s="10">
        <v>27</v>
      </c>
      <c r="B30" s="11" t="s">
        <v>53</v>
      </c>
      <c r="C30" s="12"/>
      <c r="D30" s="13" t="s">
        <v>54</v>
      </c>
      <c r="E30" s="14">
        <v>500</v>
      </c>
      <c r="F30" s="15">
        <v>14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f t="shared" si="0"/>
        <v>1</v>
      </c>
      <c r="M30" s="4">
        <f t="shared" si="1"/>
        <v>13</v>
      </c>
      <c r="N30" s="1"/>
    </row>
    <row r="31" spans="1:14" ht="15.6">
      <c r="A31" s="10">
        <v>28</v>
      </c>
      <c r="B31" s="11" t="s">
        <v>55</v>
      </c>
      <c r="C31" s="12">
        <v>300</v>
      </c>
      <c r="D31" s="13" t="s">
        <v>54</v>
      </c>
      <c r="E31" s="14">
        <v>500</v>
      </c>
      <c r="F31" s="15">
        <v>6</v>
      </c>
      <c r="G31" s="4">
        <v>0</v>
      </c>
      <c r="H31" s="4">
        <v>0</v>
      </c>
      <c r="I31" s="4">
        <v>1</v>
      </c>
      <c r="J31" s="4">
        <v>0</v>
      </c>
      <c r="K31" s="4">
        <v>1</v>
      </c>
      <c r="L31" s="4">
        <f t="shared" si="0"/>
        <v>2</v>
      </c>
      <c r="M31" s="4">
        <f t="shared" si="1"/>
        <v>4</v>
      </c>
      <c r="N31" s="1"/>
    </row>
    <row r="32" spans="1:14" ht="15.6">
      <c r="A32" s="10">
        <v>29</v>
      </c>
      <c r="B32" s="11" t="s">
        <v>56</v>
      </c>
      <c r="C32" s="12">
        <v>150</v>
      </c>
      <c r="D32" s="13" t="s">
        <v>54</v>
      </c>
      <c r="E32" s="14">
        <v>500</v>
      </c>
      <c r="F32" s="15">
        <v>10</v>
      </c>
      <c r="G32" s="4">
        <v>0</v>
      </c>
      <c r="H32" s="4">
        <v>0</v>
      </c>
      <c r="I32" s="4">
        <v>1</v>
      </c>
      <c r="J32" s="4">
        <v>1</v>
      </c>
      <c r="K32" s="4">
        <v>7</v>
      </c>
      <c r="L32" s="4">
        <f t="shared" si="0"/>
        <v>9</v>
      </c>
      <c r="M32" s="4">
        <f t="shared" si="1"/>
        <v>1</v>
      </c>
      <c r="N32" s="1"/>
    </row>
    <row r="33" spans="1:14" ht="15.6">
      <c r="A33" s="10">
        <v>30</v>
      </c>
      <c r="B33" s="11" t="s">
        <v>57</v>
      </c>
      <c r="C33" s="12"/>
      <c r="D33" s="13" t="s">
        <v>58</v>
      </c>
      <c r="E33" s="14">
        <v>500</v>
      </c>
      <c r="F33" s="15">
        <v>8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f t="shared" si="0"/>
        <v>1</v>
      </c>
      <c r="M33" s="4">
        <f t="shared" si="1"/>
        <v>7</v>
      </c>
      <c r="N33" s="1"/>
    </row>
    <row r="34" spans="1:14" ht="15.6">
      <c r="A34" s="10">
        <v>31</v>
      </c>
      <c r="B34" s="11" t="s">
        <v>59</v>
      </c>
      <c r="C34" s="12"/>
      <c r="D34" s="13" t="s">
        <v>58</v>
      </c>
      <c r="E34" s="14">
        <v>500</v>
      </c>
      <c r="F34" s="15">
        <v>7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f t="shared" si="0"/>
        <v>1</v>
      </c>
      <c r="M34" s="4">
        <f t="shared" si="1"/>
        <v>6</v>
      </c>
      <c r="N34" s="1"/>
    </row>
    <row r="35" spans="1:14" ht="15.6">
      <c r="A35" s="10">
        <v>32</v>
      </c>
      <c r="B35" s="11" t="s">
        <v>60</v>
      </c>
      <c r="C35" s="12"/>
      <c r="D35" s="13" t="s">
        <v>61</v>
      </c>
      <c r="E35" s="14">
        <v>500</v>
      </c>
      <c r="F35" s="15">
        <v>6</v>
      </c>
      <c r="G35" s="4">
        <v>0</v>
      </c>
      <c r="H35" s="4">
        <v>0</v>
      </c>
      <c r="I35" s="4">
        <v>0</v>
      </c>
      <c r="J35" s="4">
        <v>2</v>
      </c>
      <c r="K35" s="4">
        <v>1</v>
      </c>
      <c r="L35" s="4">
        <f t="shared" si="0"/>
        <v>3</v>
      </c>
      <c r="M35" s="4">
        <f t="shared" si="1"/>
        <v>3</v>
      </c>
      <c r="N35" s="1"/>
    </row>
    <row r="36" spans="1:14" ht="15.6">
      <c r="A36" s="10">
        <v>33</v>
      </c>
      <c r="B36" s="11" t="s">
        <v>62</v>
      </c>
      <c r="C36" s="12"/>
      <c r="D36" s="13" t="s">
        <v>63</v>
      </c>
      <c r="E36" s="14">
        <v>500</v>
      </c>
      <c r="F36" s="15">
        <v>6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f t="shared" ref="L36:L67" si="2">SUM(G36:K36)</f>
        <v>0</v>
      </c>
      <c r="M36" s="4">
        <f t="shared" ref="M36:M67" si="3">F36-L36</f>
        <v>6</v>
      </c>
      <c r="N36" s="1"/>
    </row>
    <row r="37" spans="1:14" ht="15.6">
      <c r="A37" s="10">
        <v>34</v>
      </c>
      <c r="B37" s="11" t="s">
        <v>64</v>
      </c>
      <c r="C37" s="12">
        <v>550</v>
      </c>
      <c r="D37" s="13" t="s">
        <v>65</v>
      </c>
      <c r="E37" s="14">
        <v>500</v>
      </c>
      <c r="F37" s="15">
        <v>6</v>
      </c>
      <c r="G37" s="4">
        <v>1</v>
      </c>
      <c r="H37" s="4">
        <v>1</v>
      </c>
      <c r="I37" s="4">
        <v>0</v>
      </c>
      <c r="J37" s="4">
        <v>0</v>
      </c>
      <c r="K37" s="4">
        <v>1</v>
      </c>
      <c r="L37" s="4">
        <f t="shared" si="2"/>
        <v>3</v>
      </c>
      <c r="M37" s="4">
        <f t="shared" si="3"/>
        <v>3</v>
      </c>
      <c r="N37" s="1"/>
    </row>
    <row r="38" spans="1:14" ht="15.6">
      <c r="A38" s="10">
        <v>35</v>
      </c>
      <c r="B38" s="11" t="s">
        <v>66</v>
      </c>
      <c r="C38" s="12"/>
      <c r="D38" s="13" t="s">
        <v>67</v>
      </c>
      <c r="E38" s="14">
        <v>500</v>
      </c>
      <c r="F38" s="15">
        <v>7</v>
      </c>
      <c r="G38" s="4">
        <v>0</v>
      </c>
      <c r="H38" s="4">
        <v>1</v>
      </c>
      <c r="I38" s="4">
        <v>1</v>
      </c>
      <c r="J38" s="4">
        <v>1</v>
      </c>
      <c r="K38" s="4">
        <v>0</v>
      </c>
      <c r="L38" s="4">
        <f t="shared" si="2"/>
        <v>3</v>
      </c>
      <c r="M38" s="4">
        <f t="shared" si="3"/>
        <v>4</v>
      </c>
      <c r="N38" s="1"/>
    </row>
    <row r="39" spans="1:14" ht="15.6">
      <c r="A39" s="10">
        <v>36</v>
      </c>
      <c r="B39" s="11" t="s">
        <v>68</v>
      </c>
      <c r="C39" s="12"/>
      <c r="D39" s="13" t="s">
        <v>67</v>
      </c>
      <c r="E39" s="14">
        <v>500</v>
      </c>
      <c r="F39" s="15">
        <v>8</v>
      </c>
      <c r="G39" s="4">
        <v>1</v>
      </c>
      <c r="H39" s="4">
        <v>2</v>
      </c>
      <c r="I39" s="4">
        <v>1</v>
      </c>
      <c r="J39" s="4">
        <v>0</v>
      </c>
      <c r="K39" s="4">
        <v>1</v>
      </c>
      <c r="L39" s="4">
        <f t="shared" si="2"/>
        <v>5</v>
      </c>
      <c r="M39" s="4">
        <f t="shared" si="3"/>
        <v>3</v>
      </c>
      <c r="N39" s="1"/>
    </row>
    <row r="40" spans="1:14" ht="15.6">
      <c r="A40" s="10">
        <v>37</v>
      </c>
      <c r="B40" s="11" t="s">
        <v>69</v>
      </c>
      <c r="C40" s="12"/>
      <c r="D40" s="13" t="s">
        <v>70</v>
      </c>
      <c r="E40" s="14">
        <v>500</v>
      </c>
      <c r="F40" s="15">
        <v>7</v>
      </c>
      <c r="G40" s="4">
        <v>0</v>
      </c>
      <c r="H40" s="4">
        <v>0</v>
      </c>
      <c r="I40" s="4">
        <v>3</v>
      </c>
      <c r="J40" s="4">
        <v>0</v>
      </c>
      <c r="K40" s="4">
        <v>2</v>
      </c>
      <c r="L40" s="4">
        <f t="shared" si="2"/>
        <v>5</v>
      </c>
      <c r="M40" s="4">
        <f t="shared" si="3"/>
        <v>2</v>
      </c>
      <c r="N40" s="1"/>
    </row>
    <row r="41" spans="1:14" ht="15.6">
      <c r="A41" s="10">
        <v>38</v>
      </c>
      <c r="B41" s="11" t="s">
        <v>71</v>
      </c>
      <c r="C41" s="16"/>
      <c r="D41" s="17" t="s">
        <v>72</v>
      </c>
      <c r="E41" s="14">
        <v>500</v>
      </c>
      <c r="F41" s="15">
        <v>6</v>
      </c>
      <c r="G41" s="4">
        <v>0</v>
      </c>
      <c r="H41" s="4">
        <v>1</v>
      </c>
      <c r="I41" s="4">
        <v>2</v>
      </c>
      <c r="J41" s="4">
        <v>2</v>
      </c>
      <c r="K41" s="4">
        <v>0</v>
      </c>
      <c r="L41" s="4">
        <f t="shared" si="2"/>
        <v>5</v>
      </c>
      <c r="M41" s="4">
        <f t="shared" si="3"/>
        <v>1</v>
      </c>
      <c r="N41" s="1"/>
    </row>
    <row r="42" spans="1:14" ht="15.6">
      <c r="A42" s="10">
        <v>39</v>
      </c>
      <c r="B42" s="11" t="s">
        <v>73</v>
      </c>
      <c r="C42" s="16"/>
      <c r="D42" s="17" t="s">
        <v>74</v>
      </c>
      <c r="E42" s="14">
        <v>500</v>
      </c>
      <c r="F42" s="15">
        <v>6</v>
      </c>
      <c r="G42" s="4">
        <v>0</v>
      </c>
      <c r="H42" s="4">
        <v>0</v>
      </c>
      <c r="I42" s="4">
        <v>0</v>
      </c>
      <c r="J42" s="4">
        <v>1</v>
      </c>
      <c r="K42" s="4">
        <v>0</v>
      </c>
      <c r="L42" s="4">
        <f t="shared" si="2"/>
        <v>1</v>
      </c>
      <c r="M42" s="4">
        <f t="shared" si="3"/>
        <v>5</v>
      </c>
      <c r="N42" s="1"/>
    </row>
    <row r="43" spans="1:14" ht="15.6">
      <c r="A43" s="10">
        <v>40</v>
      </c>
      <c r="B43" s="11" t="s">
        <v>75</v>
      </c>
      <c r="C43" s="12"/>
      <c r="D43" s="13" t="s">
        <v>76</v>
      </c>
      <c r="E43" s="14">
        <v>500</v>
      </c>
      <c r="F43" s="15">
        <v>6</v>
      </c>
      <c r="G43" s="4">
        <v>0</v>
      </c>
      <c r="H43" s="4">
        <v>0</v>
      </c>
      <c r="I43" s="4">
        <v>1</v>
      </c>
      <c r="J43" s="4">
        <v>2</v>
      </c>
      <c r="K43" s="4">
        <v>0</v>
      </c>
      <c r="L43" s="4">
        <f t="shared" si="2"/>
        <v>3</v>
      </c>
      <c r="M43" s="4">
        <f t="shared" si="3"/>
        <v>3</v>
      </c>
      <c r="N43" s="1"/>
    </row>
    <row r="44" spans="1:14" ht="15.6">
      <c r="A44" s="10">
        <v>41</v>
      </c>
      <c r="B44" s="18" t="s">
        <v>77</v>
      </c>
      <c r="C44" s="12"/>
      <c r="D44" s="13" t="s">
        <v>76</v>
      </c>
      <c r="E44" s="14">
        <v>500</v>
      </c>
      <c r="F44" s="15">
        <v>6</v>
      </c>
      <c r="G44" s="4">
        <v>0</v>
      </c>
      <c r="H44" s="4">
        <v>0</v>
      </c>
      <c r="I44" s="4">
        <v>1</v>
      </c>
      <c r="J44" s="4">
        <v>1</v>
      </c>
      <c r="K44" s="4">
        <v>0</v>
      </c>
      <c r="L44" s="4">
        <f t="shared" si="2"/>
        <v>2</v>
      </c>
      <c r="M44" s="4">
        <f t="shared" si="3"/>
        <v>4</v>
      </c>
      <c r="N44" s="1"/>
    </row>
    <row r="45" spans="1:14" ht="15.6">
      <c r="A45" s="10">
        <v>42</v>
      </c>
      <c r="B45" s="11" t="s">
        <v>78</v>
      </c>
      <c r="C45" s="16"/>
      <c r="D45" s="17" t="s">
        <v>79</v>
      </c>
      <c r="E45" s="14">
        <v>500</v>
      </c>
      <c r="F45" s="15">
        <v>5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f t="shared" si="2"/>
        <v>0</v>
      </c>
      <c r="M45" s="4">
        <f t="shared" si="3"/>
        <v>5</v>
      </c>
      <c r="N45" s="1"/>
    </row>
    <row r="46" spans="1:14" ht="15.6">
      <c r="A46" s="10">
        <v>43</v>
      </c>
      <c r="B46" s="11" t="s">
        <v>80</v>
      </c>
      <c r="C46" s="16"/>
      <c r="D46" s="17" t="s">
        <v>81</v>
      </c>
      <c r="E46" s="14">
        <v>500</v>
      </c>
      <c r="F46" s="15">
        <v>7</v>
      </c>
      <c r="G46" s="4">
        <v>0</v>
      </c>
      <c r="H46" s="4">
        <v>0</v>
      </c>
      <c r="I46" s="4">
        <v>0</v>
      </c>
      <c r="J46" s="4">
        <v>1</v>
      </c>
      <c r="K46" s="4">
        <v>1</v>
      </c>
      <c r="L46" s="4">
        <f t="shared" si="2"/>
        <v>2</v>
      </c>
      <c r="M46" s="4">
        <f t="shared" si="3"/>
        <v>5</v>
      </c>
      <c r="N46" s="1"/>
    </row>
    <row r="47" spans="1:14" ht="15.6">
      <c r="A47" s="10">
        <v>44</v>
      </c>
      <c r="B47" s="11" t="s">
        <v>82</v>
      </c>
      <c r="C47" s="16"/>
      <c r="D47" s="17" t="s">
        <v>81</v>
      </c>
      <c r="E47" s="14">
        <v>500</v>
      </c>
      <c r="F47" s="15">
        <v>6</v>
      </c>
      <c r="G47" s="4">
        <v>0</v>
      </c>
      <c r="H47" s="4">
        <v>1</v>
      </c>
      <c r="I47" s="4">
        <v>0</v>
      </c>
      <c r="J47" s="4">
        <v>2</v>
      </c>
      <c r="K47" s="4">
        <v>1</v>
      </c>
      <c r="L47" s="4">
        <f t="shared" si="2"/>
        <v>4</v>
      </c>
      <c r="M47" s="4">
        <f t="shared" si="3"/>
        <v>2</v>
      </c>
      <c r="N47" s="1"/>
    </row>
    <row r="48" spans="1:14" ht="15.6">
      <c r="A48" s="10">
        <v>45</v>
      </c>
      <c r="B48" s="11" t="s">
        <v>83</v>
      </c>
      <c r="C48" s="16"/>
      <c r="D48" s="17" t="s">
        <v>84</v>
      </c>
      <c r="E48" s="14">
        <v>500</v>
      </c>
      <c r="F48" s="15">
        <v>7</v>
      </c>
      <c r="G48" s="4">
        <v>0</v>
      </c>
      <c r="H48" s="4">
        <v>1</v>
      </c>
      <c r="I48" s="4">
        <v>1</v>
      </c>
      <c r="J48" s="4">
        <v>1</v>
      </c>
      <c r="K48" s="4">
        <v>2</v>
      </c>
      <c r="L48" s="4">
        <f t="shared" si="2"/>
        <v>5</v>
      </c>
      <c r="M48" s="4">
        <f t="shared" si="3"/>
        <v>2</v>
      </c>
      <c r="N48" s="1"/>
    </row>
    <row r="49" spans="1:14" ht="15.6">
      <c r="A49" s="10">
        <v>46</v>
      </c>
      <c r="B49" s="11" t="s">
        <v>85</v>
      </c>
      <c r="C49" s="16"/>
      <c r="D49" s="17" t="s">
        <v>84</v>
      </c>
      <c r="E49" s="14">
        <v>500</v>
      </c>
      <c r="F49" s="15">
        <v>7</v>
      </c>
      <c r="G49" s="4">
        <v>0</v>
      </c>
      <c r="H49" s="4">
        <v>1</v>
      </c>
      <c r="I49" s="4">
        <v>1</v>
      </c>
      <c r="J49" s="4">
        <v>3</v>
      </c>
      <c r="K49" s="4">
        <v>2</v>
      </c>
      <c r="L49" s="4">
        <f t="shared" si="2"/>
        <v>7</v>
      </c>
      <c r="M49" s="4">
        <f t="shared" si="3"/>
        <v>0</v>
      </c>
      <c r="N49" s="1"/>
    </row>
    <row r="50" spans="1:14" ht="15.6">
      <c r="A50" s="10">
        <v>47</v>
      </c>
      <c r="B50" s="11" t="s">
        <v>86</v>
      </c>
      <c r="C50" s="16"/>
      <c r="D50" s="17" t="s">
        <v>84</v>
      </c>
      <c r="E50" s="14">
        <v>500</v>
      </c>
      <c r="F50" s="15">
        <v>7</v>
      </c>
      <c r="G50" s="4">
        <v>0</v>
      </c>
      <c r="H50" s="4">
        <v>0</v>
      </c>
      <c r="I50" s="4">
        <v>1</v>
      </c>
      <c r="J50" s="4">
        <v>0</v>
      </c>
      <c r="K50" s="4">
        <v>0</v>
      </c>
      <c r="L50" s="4">
        <f t="shared" si="2"/>
        <v>1</v>
      </c>
      <c r="M50" s="4">
        <f t="shared" si="3"/>
        <v>6</v>
      </c>
      <c r="N50" s="1"/>
    </row>
    <row r="51" spans="1:14" ht="15.6">
      <c r="A51" s="10">
        <v>48</v>
      </c>
      <c r="B51" s="11" t="s">
        <v>87</v>
      </c>
      <c r="C51" s="16"/>
      <c r="D51" s="17" t="s">
        <v>88</v>
      </c>
      <c r="E51" s="14">
        <v>500</v>
      </c>
      <c r="F51" s="15">
        <v>6</v>
      </c>
      <c r="G51" s="4">
        <v>1</v>
      </c>
      <c r="H51" s="4">
        <v>0</v>
      </c>
      <c r="I51" s="4">
        <v>1</v>
      </c>
      <c r="J51" s="4">
        <v>0</v>
      </c>
      <c r="K51" s="4">
        <v>2</v>
      </c>
      <c r="L51" s="4">
        <f t="shared" si="2"/>
        <v>4</v>
      </c>
      <c r="M51" s="4">
        <f t="shared" si="3"/>
        <v>2</v>
      </c>
      <c r="N51" s="1"/>
    </row>
    <row r="52" spans="1:14" ht="15.6">
      <c r="A52" s="10">
        <v>49</v>
      </c>
      <c r="B52" s="11" t="s">
        <v>89</v>
      </c>
      <c r="C52" s="16"/>
      <c r="D52" s="17" t="s">
        <v>90</v>
      </c>
      <c r="E52" s="14">
        <v>500</v>
      </c>
      <c r="F52" s="15">
        <v>7</v>
      </c>
      <c r="G52" s="4">
        <v>1</v>
      </c>
      <c r="H52" s="4">
        <v>0</v>
      </c>
      <c r="I52" s="4">
        <v>3</v>
      </c>
      <c r="J52" s="4">
        <v>1</v>
      </c>
      <c r="K52" s="4">
        <v>1</v>
      </c>
      <c r="L52" s="4">
        <f t="shared" si="2"/>
        <v>6</v>
      </c>
      <c r="M52" s="4">
        <f t="shared" si="3"/>
        <v>1</v>
      </c>
      <c r="N52" s="1"/>
    </row>
    <row r="53" spans="1:14" ht="15.6">
      <c r="A53" s="10">
        <v>50</v>
      </c>
      <c r="B53" s="11" t="s">
        <v>91</v>
      </c>
      <c r="C53" s="16"/>
      <c r="D53" s="17" t="s">
        <v>92</v>
      </c>
      <c r="E53" s="14">
        <v>250</v>
      </c>
      <c r="F53" s="15">
        <v>8</v>
      </c>
      <c r="G53" s="4">
        <v>0</v>
      </c>
      <c r="H53" s="4">
        <v>0</v>
      </c>
      <c r="I53" s="4">
        <v>3</v>
      </c>
      <c r="J53" s="4">
        <v>2</v>
      </c>
      <c r="K53" s="4">
        <v>2</v>
      </c>
      <c r="L53" s="4">
        <f t="shared" si="2"/>
        <v>7</v>
      </c>
      <c r="M53" s="4">
        <f t="shared" si="3"/>
        <v>1</v>
      </c>
      <c r="N53" s="1"/>
    </row>
    <row r="54" spans="1:14" ht="15.6">
      <c r="A54" s="10"/>
      <c r="B54" s="11"/>
      <c r="C54" s="16"/>
      <c r="D54" s="17"/>
      <c r="E54" s="14"/>
      <c r="F54" s="15"/>
      <c r="G54" s="4"/>
      <c r="H54" s="4"/>
      <c r="I54" s="4"/>
      <c r="J54" s="4"/>
      <c r="K54" s="4"/>
      <c r="L54" s="4"/>
      <c r="M54" s="4">
        <f t="shared" si="3"/>
        <v>0</v>
      </c>
      <c r="N54" s="1"/>
    </row>
    <row r="55" spans="1:14" ht="15.6">
      <c r="A55" s="10"/>
      <c r="B55" s="11"/>
      <c r="C55" s="16"/>
      <c r="D55" s="17"/>
      <c r="E55" s="14"/>
      <c r="F55" s="15"/>
      <c r="G55" s="4"/>
      <c r="H55" s="4"/>
      <c r="I55" s="4"/>
      <c r="J55" s="4"/>
      <c r="K55" s="4"/>
      <c r="L55" s="4"/>
      <c r="M55" s="4">
        <f t="shared" si="3"/>
        <v>0</v>
      </c>
      <c r="N55" s="1"/>
    </row>
    <row r="56" spans="1:14" ht="17.399999999999999">
      <c r="A56" s="19"/>
      <c r="B56" s="11"/>
      <c r="C56" s="16"/>
      <c r="D56" s="17"/>
      <c r="E56" s="20">
        <f>SUM(E8:E55)</f>
        <v>18750</v>
      </c>
      <c r="F56" s="21">
        <f>SUM(F8:F55)</f>
        <v>375</v>
      </c>
      <c r="G56" s="6">
        <f>SUM(G4:G55)</f>
        <v>36</v>
      </c>
      <c r="H56" s="6">
        <f>SUM(H4:H55)</f>
        <v>44</v>
      </c>
      <c r="I56" s="6">
        <f>SUM(I4:I55)</f>
        <v>73</v>
      </c>
      <c r="J56" s="6">
        <f>SUM(J4:J55)</f>
        <v>73</v>
      </c>
      <c r="K56" s="6">
        <f>SUM(K4:K55)</f>
        <v>70</v>
      </c>
      <c r="L56" s="7">
        <f>SUM(G56:K56)</f>
        <v>296</v>
      </c>
      <c r="M56" s="8">
        <f t="shared" si="3"/>
        <v>79</v>
      </c>
      <c r="N56" s="1"/>
    </row>
    <row r="57" spans="1:14" ht="15.6">
      <c r="A57" s="22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A1:M1"/>
    <mergeCell ref="A2:A3"/>
    <mergeCell ref="B2:B3"/>
    <mergeCell ref="C2:C3"/>
    <mergeCell ref="D2:D3"/>
    <mergeCell ref="E2:E3"/>
    <mergeCell ref="L2:L3"/>
    <mergeCell ref="M2:M3"/>
    <mergeCell ref="F2:F3"/>
    <mergeCell ref="G2:G3"/>
    <mergeCell ref="H2:H3"/>
    <mergeCell ref="I2:I3"/>
    <mergeCell ref="J2:J3"/>
    <mergeCell ref="K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Q109"/>
  <sheetViews>
    <sheetView workbookViewId="0">
      <selection activeCell="B9" sqref="B9"/>
    </sheetView>
  </sheetViews>
  <sheetFormatPr defaultRowHeight="14.4"/>
  <cols>
    <col min="1" max="1" width="9.33203125" style="23" customWidth="1"/>
    <col min="2" max="2" width="90.77734375" style="23" customWidth="1"/>
    <col min="3" max="3" width="19.77734375" style="24" customWidth="1"/>
    <col min="4" max="4" width="11.44140625" style="24" customWidth="1"/>
    <col min="5" max="5" width="27.33203125" style="23" customWidth="1"/>
    <col min="6" max="6" width="30.109375" style="23" customWidth="1"/>
    <col min="7" max="7" width="47.44140625" style="23" customWidth="1"/>
    <col min="8" max="16" width="10.77734375" style="24" customWidth="1"/>
    <col min="17" max="17" width="27.77734375" style="24" customWidth="1"/>
  </cols>
  <sheetData>
    <row r="1" spans="1:17" ht="22.8">
      <c r="A1" s="94" t="s">
        <v>93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</row>
    <row r="2" spans="1:17" ht="17.399999999999999">
      <c r="A2" s="96" t="s">
        <v>1</v>
      </c>
      <c r="B2" s="96" t="s">
        <v>2</v>
      </c>
      <c r="C2" s="99" t="s">
        <v>161</v>
      </c>
      <c r="D2" s="101" t="s">
        <v>3</v>
      </c>
      <c r="E2" s="101" t="s">
        <v>4</v>
      </c>
      <c r="F2" s="99" t="s">
        <v>162</v>
      </c>
      <c r="G2" s="103" t="s">
        <v>163</v>
      </c>
      <c r="H2" s="104" t="s">
        <v>94</v>
      </c>
      <c r="I2" s="105"/>
      <c r="J2" s="105"/>
      <c r="K2" s="105"/>
      <c r="L2" s="105"/>
      <c r="M2" s="105"/>
      <c r="N2" s="105"/>
      <c r="O2" s="105"/>
      <c r="P2" s="106"/>
      <c r="Q2" s="107" t="s">
        <v>164</v>
      </c>
    </row>
    <row r="3" spans="1:17" ht="53.4" customHeight="1">
      <c r="A3" s="97"/>
      <c r="B3" s="98"/>
      <c r="C3" s="100"/>
      <c r="D3" s="102"/>
      <c r="E3" s="102"/>
      <c r="F3" s="102"/>
      <c r="G3" s="98"/>
      <c r="H3" s="26" t="s">
        <v>95</v>
      </c>
      <c r="I3" s="26" t="s">
        <v>96</v>
      </c>
      <c r="J3" s="26" t="s">
        <v>97</v>
      </c>
      <c r="K3" s="26" t="s">
        <v>98</v>
      </c>
      <c r="L3" s="26" t="s">
        <v>99</v>
      </c>
      <c r="M3" s="26" t="s">
        <v>100</v>
      </c>
      <c r="N3" s="26" t="s">
        <v>101</v>
      </c>
      <c r="O3" s="26" t="s">
        <v>102</v>
      </c>
      <c r="P3" s="26" t="s">
        <v>103</v>
      </c>
      <c r="Q3" s="108"/>
    </row>
    <row r="4" spans="1:17" ht="15">
      <c r="A4" s="10">
        <v>1</v>
      </c>
      <c r="B4" s="11" t="s">
        <v>14</v>
      </c>
      <c r="C4" s="32" t="s">
        <v>16</v>
      </c>
      <c r="D4" s="12">
        <v>300</v>
      </c>
      <c r="E4" s="13" t="s">
        <v>15</v>
      </c>
      <c r="F4" s="15">
        <v>20</v>
      </c>
      <c r="G4" s="15">
        <v>15</v>
      </c>
      <c r="H4" s="27">
        <v>3</v>
      </c>
      <c r="I4" s="27">
        <v>2</v>
      </c>
      <c r="J4" s="27">
        <v>1</v>
      </c>
      <c r="K4" s="27">
        <v>1</v>
      </c>
      <c r="L4" s="27">
        <v>1</v>
      </c>
      <c r="M4" s="27"/>
      <c r="N4" s="27"/>
      <c r="O4" s="27">
        <v>2</v>
      </c>
      <c r="P4" s="27">
        <v>2</v>
      </c>
      <c r="Q4" s="27">
        <f t="shared" ref="Q4:Q35" si="0">SUM(H4:P4)</f>
        <v>12</v>
      </c>
    </row>
    <row r="5" spans="1:17" ht="15">
      <c r="A5" s="10">
        <v>2</v>
      </c>
      <c r="B5" s="11" t="s">
        <v>17</v>
      </c>
      <c r="C5" s="32" t="s">
        <v>16</v>
      </c>
      <c r="D5" s="12">
        <v>600</v>
      </c>
      <c r="E5" s="13" t="s">
        <v>15</v>
      </c>
      <c r="F5" s="15">
        <v>12</v>
      </c>
      <c r="G5" s="15">
        <v>12</v>
      </c>
      <c r="H5" s="27"/>
      <c r="I5" s="27">
        <v>2</v>
      </c>
      <c r="J5" s="27"/>
      <c r="K5" s="27"/>
      <c r="L5" s="27">
        <v>3</v>
      </c>
      <c r="M5" s="27"/>
      <c r="N5" s="27"/>
      <c r="O5" s="27">
        <v>1</v>
      </c>
      <c r="P5" s="27">
        <v>2</v>
      </c>
      <c r="Q5" s="27">
        <f t="shared" si="0"/>
        <v>8</v>
      </c>
    </row>
    <row r="6" spans="1:17" ht="15">
      <c r="A6" s="10">
        <v>3</v>
      </c>
      <c r="B6" s="11" t="s">
        <v>18</v>
      </c>
      <c r="C6" s="32" t="s">
        <v>16</v>
      </c>
      <c r="D6" s="12">
        <v>350</v>
      </c>
      <c r="E6" s="13" t="s">
        <v>15</v>
      </c>
      <c r="F6" s="15">
        <v>12</v>
      </c>
      <c r="G6" s="15">
        <v>12</v>
      </c>
      <c r="H6" s="27"/>
      <c r="I6" s="27"/>
      <c r="J6" s="27"/>
      <c r="K6" s="27">
        <v>1</v>
      </c>
      <c r="L6" s="27"/>
      <c r="M6" s="27"/>
      <c r="N6" s="27"/>
      <c r="O6" s="27">
        <v>2</v>
      </c>
      <c r="P6" s="27">
        <v>2</v>
      </c>
      <c r="Q6" s="27">
        <f t="shared" si="0"/>
        <v>5</v>
      </c>
    </row>
    <row r="7" spans="1:17" ht="15">
      <c r="A7" s="10">
        <v>4</v>
      </c>
      <c r="B7" s="11" t="s">
        <v>19</v>
      </c>
      <c r="C7" s="32" t="s">
        <v>16</v>
      </c>
      <c r="D7" s="12">
        <v>480</v>
      </c>
      <c r="E7" s="13" t="s">
        <v>15</v>
      </c>
      <c r="F7" s="15">
        <v>20</v>
      </c>
      <c r="G7" s="15">
        <v>15</v>
      </c>
      <c r="H7" s="27"/>
      <c r="I7" s="27">
        <v>1</v>
      </c>
      <c r="J7" s="27">
        <v>3</v>
      </c>
      <c r="K7" s="27"/>
      <c r="L7" s="27"/>
      <c r="M7" s="27"/>
      <c r="N7" s="27"/>
      <c r="O7" s="27">
        <v>5</v>
      </c>
      <c r="P7" s="27">
        <v>4</v>
      </c>
      <c r="Q7" s="27">
        <f t="shared" si="0"/>
        <v>13</v>
      </c>
    </row>
    <row r="8" spans="1:17" ht="15">
      <c r="A8" s="10">
        <v>5</v>
      </c>
      <c r="B8" s="11" t="s">
        <v>104</v>
      </c>
      <c r="C8" s="12">
        <v>800</v>
      </c>
      <c r="D8" s="12">
        <v>350</v>
      </c>
      <c r="E8" s="13" t="s">
        <v>21</v>
      </c>
      <c r="F8" s="15">
        <v>9</v>
      </c>
      <c r="G8" s="15">
        <v>15</v>
      </c>
      <c r="H8" s="27"/>
      <c r="I8" s="27"/>
      <c r="J8" s="27">
        <v>1</v>
      </c>
      <c r="K8" s="27"/>
      <c r="L8" s="27">
        <v>2</v>
      </c>
      <c r="M8" s="27"/>
      <c r="N8" s="27"/>
      <c r="O8" s="27"/>
      <c r="P8" s="27"/>
      <c r="Q8" s="27">
        <f t="shared" si="0"/>
        <v>3</v>
      </c>
    </row>
    <row r="9" spans="1:17" ht="15">
      <c r="A9" s="10">
        <v>6</v>
      </c>
      <c r="B9" s="11" t="s">
        <v>105</v>
      </c>
      <c r="C9" s="12">
        <v>800</v>
      </c>
      <c r="D9" s="12">
        <v>250</v>
      </c>
      <c r="E9" s="13" t="s">
        <v>21</v>
      </c>
      <c r="F9" s="15">
        <v>10</v>
      </c>
      <c r="G9" s="15">
        <v>15</v>
      </c>
      <c r="H9" s="27"/>
      <c r="I9" s="27"/>
      <c r="J9" s="27"/>
      <c r="K9" s="27"/>
      <c r="L9" s="27"/>
      <c r="M9" s="27"/>
      <c r="N9" s="27"/>
      <c r="O9" s="27"/>
      <c r="P9" s="27"/>
      <c r="Q9" s="27">
        <f t="shared" si="0"/>
        <v>0</v>
      </c>
    </row>
    <row r="10" spans="1:17" ht="15">
      <c r="A10" s="10">
        <v>7</v>
      </c>
      <c r="B10" s="11" t="s">
        <v>22</v>
      </c>
      <c r="C10" s="12">
        <v>800</v>
      </c>
      <c r="D10" s="12">
        <v>350</v>
      </c>
      <c r="E10" s="13" t="s">
        <v>21</v>
      </c>
      <c r="F10" s="15">
        <v>12</v>
      </c>
      <c r="G10" s="15">
        <v>15</v>
      </c>
      <c r="H10" s="27"/>
      <c r="I10" s="27"/>
      <c r="J10" s="27"/>
      <c r="K10" s="27"/>
      <c r="L10" s="27">
        <v>1</v>
      </c>
      <c r="M10" s="27"/>
      <c r="N10" s="27"/>
      <c r="O10" s="27"/>
      <c r="P10" s="27">
        <v>2</v>
      </c>
      <c r="Q10" s="27">
        <f t="shared" si="0"/>
        <v>3</v>
      </c>
    </row>
    <row r="11" spans="1:17" ht="15">
      <c r="A11" s="10">
        <v>8</v>
      </c>
      <c r="B11" s="11" t="s">
        <v>23</v>
      </c>
      <c r="C11" s="12">
        <v>800</v>
      </c>
      <c r="D11" s="12">
        <v>300</v>
      </c>
      <c r="E11" s="33" t="s">
        <v>24</v>
      </c>
      <c r="F11" s="15">
        <v>12</v>
      </c>
      <c r="G11" s="15">
        <v>12</v>
      </c>
      <c r="H11" s="27">
        <v>1</v>
      </c>
      <c r="I11" s="27"/>
      <c r="J11" s="27"/>
      <c r="K11" s="27">
        <v>1</v>
      </c>
      <c r="L11" s="27"/>
      <c r="M11" s="27"/>
      <c r="N11" s="27"/>
      <c r="O11" s="27"/>
      <c r="P11" s="27"/>
      <c r="Q11" s="27">
        <f t="shared" si="0"/>
        <v>2</v>
      </c>
    </row>
    <row r="12" spans="1:17" ht="15">
      <c r="A12" s="10">
        <v>9</v>
      </c>
      <c r="B12" s="11" t="s">
        <v>106</v>
      </c>
      <c r="C12" s="12">
        <v>800</v>
      </c>
      <c r="D12" s="12">
        <v>350</v>
      </c>
      <c r="E12" s="33" t="s">
        <v>24</v>
      </c>
      <c r="F12" s="15">
        <v>18</v>
      </c>
      <c r="G12" s="15">
        <v>15</v>
      </c>
      <c r="H12" s="27"/>
      <c r="I12" s="27"/>
      <c r="J12" s="27"/>
      <c r="K12" s="27">
        <v>1</v>
      </c>
      <c r="L12" s="27"/>
      <c r="M12" s="27"/>
      <c r="N12" s="27"/>
      <c r="O12" s="27">
        <v>1</v>
      </c>
      <c r="P12" s="27"/>
      <c r="Q12" s="27">
        <f t="shared" si="0"/>
        <v>2</v>
      </c>
    </row>
    <row r="13" spans="1:17" ht="15">
      <c r="A13" s="10">
        <v>10</v>
      </c>
      <c r="B13" s="11" t="s">
        <v>107</v>
      </c>
      <c r="C13" s="12">
        <v>800</v>
      </c>
      <c r="D13" s="12">
        <v>350</v>
      </c>
      <c r="E13" s="33" t="s">
        <v>24</v>
      </c>
      <c r="F13" s="15">
        <v>18</v>
      </c>
      <c r="G13" s="15">
        <v>15</v>
      </c>
      <c r="H13" s="27"/>
      <c r="I13" s="27"/>
      <c r="J13" s="27"/>
      <c r="K13" s="27"/>
      <c r="L13" s="27">
        <v>1</v>
      </c>
      <c r="M13" s="27"/>
      <c r="N13" s="27"/>
      <c r="O13" s="27">
        <v>1</v>
      </c>
      <c r="P13" s="27"/>
      <c r="Q13" s="27">
        <f t="shared" si="0"/>
        <v>2</v>
      </c>
    </row>
    <row r="14" spans="1:17" ht="15">
      <c r="A14" s="10">
        <v>11</v>
      </c>
      <c r="B14" s="11" t="s">
        <v>29</v>
      </c>
      <c r="C14" s="12">
        <v>800</v>
      </c>
      <c r="D14" s="12">
        <v>500</v>
      </c>
      <c r="E14" s="33" t="s">
        <v>24</v>
      </c>
      <c r="F14" s="15">
        <v>12</v>
      </c>
      <c r="G14" s="15">
        <v>12</v>
      </c>
      <c r="H14" s="27"/>
      <c r="I14" s="27"/>
      <c r="J14" s="27"/>
      <c r="K14" s="27">
        <v>1</v>
      </c>
      <c r="L14" s="27"/>
      <c r="M14" s="27"/>
      <c r="N14" s="27"/>
      <c r="O14" s="27">
        <v>1</v>
      </c>
      <c r="P14" s="27"/>
      <c r="Q14" s="27">
        <f t="shared" si="0"/>
        <v>2</v>
      </c>
    </row>
    <row r="15" spans="1:17" ht="15">
      <c r="A15" s="10">
        <v>12</v>
      </c>
      <c r="B15" s="11" t="s">
        <v>30</v>
      </c>
      <c r="C15" s="12">
        <v>800</v>
      </c>
      <c r="D15" s="12">
        <v>220</v>
      </c>
      <c r="E15" s="13" t="s">
        <v>31</v>
      </c>
      <c r="F15" s="15">
        <v>10</v>
      </c>
      <c r="G15" s="15">
        <v>10</v>
      </c>
      <c r="H15" s="27"/>
      <c r="I15" s="27"/>
      <c r="J15" s="27"/>
      <c r="K15" s="27"/>
      <c r="L15" s="27"/>
      <c r="M15" s="27"/>
      <c r="N15" s="27"/>
      <c r="O15" s="27"/>
      <c r="P15" s="27"/>
      <c r="Q15" s="27">
        <f t="shared" si="0"/>
        <v>0</v>
      </c>
    </row>
    <row r="16" spans="1:17" ht="15">
      <c r="A16" s="10">
        <v>13</v>
      </c>
      <c r="B16" s="11" t="s">
        <v>32</v>
      </c>
      <c r="C16" s="12">
        <v>800</v>
      </c>
      <c r="D16" s="12">
        <v>220</v>
      </c>
      <c r="E16" s="13" t="s">
        <v>31</v>
      </c>
      <c r="F16" s="15">
        <v>10</v>
      </c>
      <c r="G16" s="15">
        <v>10</v>
      </c>
      <c r="H16" s="27"/>
      <c r="I16" s="27"/>
      <c r="J16" s="27"/>
      <c r="K16" s="27"/>
      <c r="L16" s="27"/>
      <c r="M16" s="27"/>
      <c r="N16" s="27"/>
      <c r="O16" s="27"/>
      <c r="P16" s="27"/>
      <c r="Q16" s="27">
        <f t="shared" si="0"/>
        <v>0</v>
      </c>
    </row>
    <row r="17" spans="1:17" ht="15">
      <c r="A17" s="10">
        <v>14</v>
      </c>
      <c r="B17" s="11" t="s">
        <v>108</v>
      </c>
      <c r="C17" s="12">
        <v>800</v>
      </c>
      <c r="D17" s="12">
        <v>220</v>
      </c>
      <c r="E17" s="13" t="s">
        <v>31</v>
      </c>
      <c r="F17" s="15">
        <v>10</v>
      </c>
      <c r="G17" s="15">
        <v>15</v>
      </c>
      <c r="H17" s="27"/>
      <c r="I17" s="27"/>
      <c r="J17" s="27"/>
      <c r="K17" s="27">
        <v>1</v>
      </c>
      <c r="L17" s="27"/>
      <c r="M17" s="27"/>
      <c r="N17" s="27"/>
      <c r="O17" s="27"/>
      <c r="P17" s="27"/>
      <c r="Q17" s="27">
        <f t="shared" si="0"/>
        <v>1</v>
      </c>
    </row>
    <row r="18" spans="1:17" ht="15">
      <c r="A18" s="10">
        <v>15</v>
      </c>
      <c r="B18" s="11" t="s">
        <v>109</v>
      </c>
      <c r="C18" s="12">
        <v>800</v>
      </c>
      <c r="D18" s="12">
        <v>250</v>
      </c>
      <c r="E18" s="13" t="s">
        <v>31</v>
      </c>
      <c r="F18" s="15">
        <v>10</v>
      </c>
      <c r="G18" s="15">
        <v>15</v>
      </c>
      <c r="H18" s="27"/>
      <c r="I18" s="27">
        <v>1</v>
      </c>
      <c r="J18" s="27">
        <v>1</v>
      </c>
      <c r="K18" s="27">
        <v>1</v>
      </c>
      <c r="L18" s="27"/>
      <c r="M18" s="27"/>
      <c r="N18" s="27">
        <v>1</v>
      </c>
      <c r="O18" s="27"/>
      <c r="P18" s="27"/>
      <c r="Q18" s="27">
        <f t="shared" si="0"/>
        <v>4</v>
      </c>
    </row>
    <row r="19" spans="1:17" ht="15">
      <c r="A19" s="10">
        <v>16</v>
      </c>
      <c r="B19" s="11" t="s">
        <v>62</v>
      </c>
      <c r="C19" s="34">
        <v>800</v>
      </c>
      <c r="D19" s="12">
        <v>220</v>
      </c>
      <c r="E19" s="13" t="s">
        <v>63</v>
      </c>
      <c r="F19" s="15">
        <v>7</v>
      </c>
      <c r="G19" s="15">
        <v>7</v>
      </c>
      <c r="H19" s="27"/>
      <c r="I19" s="27"/>
      <c r="J19" s="27"/>
      <c r="K19" s="27"/>
      <c r="L19" s="27"/>
      <c r="M19" s="27"/>
      <c r="N19" s="27"/>
      <c r="O19" s="27"/>
      <c r="P19" s="27"/>
      <c r="Q19" s="27">
        <f t="shared" si="0"/>
        <v>0</v>
      </c>
    </row>
    <row r="20" spans="1:17" ht="15">
      <c r="A20" s="10">
        <v>17</v>
      </c>
      <c r="B20" s="11" t="s">
        <v>35</v>
      </c>
      <c r="C20" s="12">
        <v>800</v>
      </c>
      <c r="D20" s="12">
        <v>500</v>
      </c>
      <c r="E20" s="13" t="s">
        <v>36</v>
      </c>
      <c r="F20" s="15">
        <v>7</v>
      </c>
      <c r="G20" s="15">
        <v>7</v>
      </c>
      <c r="H20" s="27"/>
      <c r="I20" s="27"/>
      <c r="J20" s="27"/>
      <c r="K20" s="27">
        <v>1</v>
      </c>
      <c r="L20" s="27"/>
      <c r="M20" s="27"/>
      <c r="N20" s="27"/>
      <c r="O20" s="27"/>
      <c r="P20" s="27"/>
      <c r="Q20" s="27">
        <f t="shared" si="0"/>
        <v>1</v>
      </c>
    </row>
    <row r="21" spans="1:17" ht="15">
      <c r="A21" s="10">
        <v>18</v>
      </c>
      <c r="B21" s="11" t="s">
        <v>37</v>
      </c>
      <c r="C21" s="12">
        <v>800</v>
      </c>
      <c r="D21" s="12">
        <v>400</v>
      </c>
      <c r="E21" s="13" t="s">
        <v>38</v>
      </c>
      <c r="F21" s="15">
        <v>18</v>
      </c>
      <c r="G21" s="15">
        <v>15</v>
      </c>
      <c r="H21" s="27"/>
      <c r="I21" s="27"/>
      <c r="J21" s="27">
        <v>1</v>
      </c>
      <c r="K21" s="27"/>
      <c r="L21" s="27"/>
      <c r="M21" s="27"/>
      <c r="N21" s="27"/>
      <c r="O21" s="27">
        <v>2</v>
      </c>
      <c r="P21" s="27">
        <v>1</v>
      </c>
      <c r="Q21" s="27">
        <f t="shared" si="0"/>
        <v>4</v>
      </c>
    </row>
    <row r="22" spans="1:17" ht="15">
      <c r="A22" s="10">
        <v>19</v>
      </c>
      <c r="B22" s="11" t="s">
        <v>39</v>
      </c>
      <c r="C22" s="12">
        <v>800</v>
      </c>
      <c r="D22" s="12">
        <v>300</v>
      </c>
      <c r="E22" s="13" t="s">
        <v>38</v>
      </c>
      <c r="F22" s="15">
        <v>18</v>
      </c>
      <c r="G22" s="15">
        <v>13</v>
      </c>
      <c r="H22" s="27"/>
      <c r="I22" s="27"/>
      <c r="J22" s="27"/>
      <c r="K22" s="27">
        <v>1</v>
      </c>
      <c r="L22" s="27"/>
      <c r="M22" s="27"/>
      <c r="N22" s="27"/>
      <c r="O22" s="27">
        <v>1</v>
      </c>
      <c r="P22" s="27"/>
      <c r="Q22" s="27">
        <f t="shared" si="0"/>
        <v>2</v>
      </c>
    </row>
    <row r="23" spans="1:17" ht="15">
      <c r="A23" s="10">
        <v>20</v>
      </c>
      <c r="B23" s="11" t="s">
        <v>40</v>
      </c>
      <c r="C23" s="12">
        <v>800</v>
      </c>
      <c r="D23" s="12">
        <v>220</v>
      </c>
      <c r="E23" s="13" t="s">
        <v>41</v>
      </c>
      <c r="F23" s="15">
        <v>18</v>
      </c>
      <c r="G23" s="15">
        <v>12</v>
      </c>
      <c r="H23" s="27"/>
      <c r="I23" s="27"/>
      <c r="J23" s="27"/>
      <c r="K23" s="27">
        <v>1</v>
      </c>
      <c r="L23" s="27"/>
      <c r="M23" s="27"/>
      <c r="N23" s="27"/>
      <c r="O23" s="27">
        <v>1</v>
      </c>
      <c r="P23" s="27"/>
      <c r="Q23" s="27">
        <f t="shared" si="0"/>
        <v>2</v>
      </c>
    </row>
    <row r="24" spans="1:17" ht="15">
      <c r="A24" s="10">
        <v>21</v>
      </c>
      <c r="B24" s="11" t="s">
        <v>42</v>
      </c>
      <c r="C24" s="12">
        <v>800</v>
      </c>
      <c r="D24" s="12">
        <v>220</v>
      </c>
      <c r="E24" s="13" t="s">
        <v>41</v>
      </c>
      <c r="F24" s="15">
        <v>18</v>
      </c>
      <c r="G24" s="15">
        <v>8</v>
      </c>
      <c r="H24" s="27"/>
      <c r="I24" s="27"/>
      <c r="J24" s="27"/>
      <c r="K24" s="27">
        <v>1</v>
      </c>
      <c r="L24" s="27"/>
      <c r="M24" s="27"/>
      <c r="N24" s="27"/>
      <c r="O24" s="27">
        <v>1</v>
      </c>
      <c r="P24" s="27"/>
      <c r="Q24" s="27">
        <f t="shared" si="0"/>
        <v>2</v>
      </c>
    </row>
    <row r="25" spans="1:17" ht="15">
      <c r="A25" s="10">
        <v>22</v>
      </c>
      <c r="B25" s="11" t="s">
        <v>43</v>
      </c>
      <c r="C25" s="12">
        <v>800</v>
      </c>
      <c r="D25" s="12">
        <v>220</v>
      </c>
      <c r="E25" s="13" t="s">
        <v>41</v>
      </c>
      <c r="F25" s="15">
        <v>12</v>
      </c>
      <c r="G25" s="15">
        <v>12</v>
      </c>
      <c r="H25" s="27"/>
      <c r="I25" s="27"/>
      <c r="J25" s="27"/>
      <c r="K25" s="27"/>
      <c r="L25" s="27"/>
      <c r="M25" s="27">
        <v>1</v>
      </c>
      <c r="N25" s="27"/>
      <c r="O25" s="27">
        <v>2</v>
      </c>
      <c r="P25" s="27"/>
      <c r="Q25" s="27">
        <f t="shared" si="0"/>
        <v>3</v>
      </c>
    </row>
    <row r="26" spans="1:17" ht="15">
      <c r="A26" s="10">
        <v>23</v>
      </c>
      <c r="B26" s="11" t="s">
        <v>44</v>
      </c>
      <c r="C26" s="12">
        <v>800</v>
      </c>
      <c r="D26" s="12">
        <v>450</v>
      </c>
      <c r="E26" s="13" t="s">
        <v>45</v>
      </c>
      <c r="F26" s="15">
        <v>10</v>
      </c>
      <c r="G26" s="15">
        <v>10</v>
      </c>
      <c r="H26" s="27"/>
      <c r="I26" s="27"/>
      <c r="J26" s="27"/>
      <c r="K26" s="27"/>
      <c r="L26" s="27"/>
      <c r="M26" s="27"/>
      <c r="N26" s="27"/>
      <c r="O26" s="27"/>
      <c r="P26" s="27">
        <v>1</v>
      </c>
      <c r="Q26" s="27">
        <f t="shared" si="0"/>
        <v>1</v>
      </c>
    </row>
    <row r="27" spans="1:17" ht="15">
      <c r="A27" s="10">
        <v>24</v>
      </c>
      <c r="B27" s="11" t="s">
        <v>46</v>
      </c>
      <c r="C27" s="32" t="s">
        <v>16</v>
      </c>
      <c r="D27" s="12">
        <v>375</v>
      </c>
      <c r="E27" s="13" t="s">
        <v>47</v>
      </c>
      <c r="F27" s="15">
        <v>8</v>
      </c>
      <c r="G27" s="15">
        <v>10</v>
      </c>
      <c r="H27" s="27"/>
      <c r="I27" s="27"/>
      <c r="J27" s="27"/>
      <c r="K27" s="27"/>
      <c r="L27" s="27"/>
      <c r="M27" s="27"/>
      <c r="N27" s="27">
        <v>1</v>
      </c>
      <c r="O27" s="27"/>
      <c r="P27" s="27"/>
      <c r="Q27" s="27">
        <f t="shared" si="0"/>
        <v>1</v>
      </c>
    </row>
    <row r="28" spans="1:17" ht="15">
      <c r="A28" s="10">
        <v>25</v>
      </c>
      <c r="B28" s="11" t="s">
        <v>110</v>
      </c>
      <c r="C28" s="32" t="s">
        <v>16</v>
      </c>
      <c r="D28" s="12">
        <v>350</v>
      </c>
      <c r="E28" s="13" t="s">
        <v>47</v>
      </c>
      <c r="F28" s="15">
        <v>12</v>
      </c>
      <c r="G28" s="15">
        <v>10</v>
      </c>
      <c r="H28" s="27"/>
      <c r="I28" s="27"/>
      <c r="J28" s="27"/>
      <c r="K28" s="27"/>
      <c r="L28" s="27"/>
      <c r="M28" s="27"/>
      <c r="N28" s="27"/>
      <c r="O28" s="27"/>
      <c r="P28" s="27"/>
      <c r="Q28" s="27">
        <f t="shared" si="0"/>
        <v>0</v>
      </c>
    </row>
    <row r="29" spans="1:17" ht="15">
      <c r="A29" s="10">
        <v>26</v>
      </c>
      <c r="B29" s="11" t="s">
        <v>48</v>
      </c>
      <c r="C29" s="12">
        <v>800</v>
      </c>
      <c r="D29" s="12">
        <v>300</v>
      </c>
      <c r="E29" s="13" t="s">
        <v>49</v>
      </c>
      <c r="F29" s="15">
        <v>15</v>
      </c>
      <c r="G29" s="15">
        <v>15</v>
      </c>
      <c r="H29" s="27"/>
      <c r="I29" s="27"/>
      <c r="J29" s="27"/>
      <c r="K29" s="27">
        <v>1</v>
      </c>
      <c r="L29" s="27"/>
      <c r="M29" s="27"/>
      <c r="N29" s="27"/>
      <c r="O29" s="27"/>
      <c r="P29" s="27"/>
      <c r="Q29" s="27">
        <f t="shared" si="0"/>
        <v>1</v>
      </c>
    </row>
    <row r="30" spans="1:17" ht="15">
      <c r="A30" s="10">
        <v>27</v>
      </c>
      <c r="B30" s="11" t="s">
        <v>50</v>
      </c>
      <c r="C30" s="12">
        <v>800</v>
      </c>
      <c r="D30" s="12">
        <v>100</v>
      </c>
      <c r="E30" s="13" t="s">
        <v>49</v>
      </c>
      <c r="F30" s="15">
        <v>15</v>
      </c>
      <c r="G30" s="15">
        <v>15</v>
      </c>
      <c r="H30" s="27"/>
      <c r="I30" s="27"/>
      <c r="J30" s="27"/>
      <c r="K30" s="27"/>
      <c r="L30" s="27"/>
      <c r="M30" s="27"/>
      <c r="N30" s="27"/>
      <c r="O30" s="27"/>
      <c r="P30" s="27"/>
      <c r="Q30" s="27">
        <f t="shared" si="0"/>
        <v>0</v>
      </c>
    </row>
    <row r="31" spans="1:17" ht="15">
      <c r="A31" s="10">
        <v>28</v>
      </c>
      <c r="B31" s="11" t="s">
        <v>51</v>
      </c>
      <c r="C31" s="12">
        <v>800</v>
      </c>
      <c r="D31" s="12">
        <v>250</v>
      </c>
      <c r="E31" s="13" t="s">
        <v>52</v>
      </c>
      <c r="F31" s="15">
        <v>12</v>
      </c>
      <c r="G31" s="15">
        <v>12</v>
      </c>
      <c r="H31" s="27"/>
      <c r="I31" s="27">
        <v>1</v>
      </c>
      <c r="J31" s="27"/>
      <c r="K31" s="27">
        <v>1</v>
      </c>
      <c r="L31" s="27"/>
      <c r="M31" s="27"/>
      <c r="N31" s="27">
        <v>2</v>
      </c>
      <c r="O31" s="27"/>
      <c r="P31" s="27">
        <v>1</v>
      </c>
      <c r="Q31" s="27">
        <f t="shared" si="0"/>
        <v>5</v>
      </c>
    </row>
    <row r="32" spans="1:17" ht="15">
      <c r="A32" s="10">
        <v>29</v>
      </c>
      <c r="B32" s="35" t="s">
        <v>53</v>
      </c>
      <c r="C32" s="12">
        <v>800</v>
      </c>
      <c r="D32" s="12">
        <v>300</v>
      </c>
      <c r="E32" s="13" t="s">
        <v>54</v>
      </c>
      <c r="F32" s="15">
        <v>12</v>
      </c>
      <c r="G32" s="15">
        <v>15</v>
      </c>
      <c r="H32" s="27"/>
      <c r="I32" s="27"/>
      <c r="J32" s="27">
        <v>1</v>
      </c>
      <c r="K32" s="27"/>
      <c r="L32" s="27"/>
      <c r="M32" s="27"/>
      <c r="N32" s="27"/>
      <c r="O32" s="27"/>
      <c r="P32" s="27"/>
      <c r="Q32" s="27">
        <f t="shared" si="0"/>
        <v>1</v>
      </c>
    </row>
    <row r="33" spans="1:17" ht="15">
      <c r="A33" s="10">
        <v>30</v>
      </c>
      <c r="B33" s="35" t="s">
        <v>55</v>
      </c>
      <c r="C33" s="12">
        <v>800</v>
      </c>
      <c r="D33" s="12">
        <v>300</v>
      </c>
      <c r="E33" s="13" t="s">
        <v>54</v>
      </c>
      <c r="F33" s="15">
        <v>12</v>
      </c>
      <c r="G33" s="15">
        <v>15</v>
      </c>
      <c r="H33" s="27"/>
      <c r="I33" s="27"/>
      <c r="J33" s="27"/>
      <c r="K33" s="27"/>
      <c r="L33" s="27"/>
      <c r="M33" s="27"/>
      <c r="N33" s="27"/>
      <c r="O33" s="27"/>
      <c r="P33" s="27"/>
      <c r="Q33" s="27">
        <f t="shared" si="0"/>
        <v>0</v>
      </c>
    </row>
    <row r="34" spans="1:17" ht="15">
      <c r="A34" s="10">
        <v>31</v>
      </c>
      <c r="B34" s="11" t="s">
        <v>56</v>
      </c>
      <c r="C34" s="12">
        <v>800</v>
      </c>
      <c r="D34" s="12">
        <v>150</v>
      </c>
      <c r="E34" s="13" t="s">
        <v>54</v>
      </c>
      <c r="F34" s="15">
        <v>12</v>
      </c>
      <c r="G34" s="15">
        <v>15</v>
      </c>
      <c r="H34" s="27"/>
      <c r="I34" s="27"/>
      <c r="J34" s="27">
        <v>1</v>
      </c>
      <c r="K34" s="27"/>
      <c r="L34" s="27"/>
      <c r="M34" s="27"/>
      <c r="N34" s="27">
        <v>1</v>
      </c>
      <c r="O34" s="27"/>
      <c r="P34" s="27"/>
      <c r="Q34" s="27">
        <f t="shared" si="0"/>
        <v>2</v>
      </c>
    </row>
    <row r="35" spans="1:17" ht="15">
      <c r="A35" s="10">
        <v>32</v>
      </c>
      <c r="B35" s="11" t="s">
        <v>57</v>
      </c>
      <c r="C35" s="12">
        <v>800</v>
      </c>
      <c r="D35" s="12">
        <v>550</v>
      </c>
      <c r="E35" s="13" t="s">
        <v>58</v>
      </c>
      <c r="F35" s="15">
        <v>5</v>
      </c>
      <c r="G35" s="15">
        <v>5</v>
      </c>
      <c r="H35" s="27"/>
      <c r="I35" s="27"/>
      <c r="J35" s="27"/>
      <c r="K35" s="27"/>
      <c r="L35" s="27"/>
      <c r="M35" s="27"/>
      <c r="N35" s="27"/>
      <c r="O35" s="27"/>
      <c r="P35" s="27">
        <v>1</v>
      </c>
      <c r="Q35" s="27">
        <f t="shared" si="0"/>
        <v>1</v>
      </c>
    </row>
    <row r="36" spans="1:17" ht="15">
      <c r="A36" s="10">
        <v>33</v>
      </c>
      <c r="B36" s="11" t="s">
        <v>59</v>
      </c>
      <c r="C36" s="12">
        <v>800</v>
      </c>
      <c r="D36" s="12">
        <v>150</v>
      </c>
      <c r="E36" s="13" t="s">
        <v>58</v>
      </c>
      <c r="F36" s="15">
        <v>10</v>
      </c>
      <c r="G36" s="15">
        <v>5</v>
      </c>
      <c r="H36" s="27"/>
      <c r="I36" s="27"/>
      <c r="J36" s="27"/>
      <c r="K36" s="27"/>
      <c r="L36" s="27"/>
      <c r="M36" s="27"/>
      <c r="N36" s="27"/>
      <c r="O36" s="27">
        <v>1</v>
      </c>
      <c r="P36" s="27"/>
      <c r="Q36" s="27">
        <f t="shared" ref="Q36:Q67" si="1">SUM(H36:P36)</f>
        <v>1</v>
      </c>
    </row>
    <row r="37" spans="1:17" ht="15">
      <c r="A37" s="10">
        <v>34</v>
      </c>
      <c r="B37" s="11" t="s">
        <v>60</v>
      </c>
      <c r="C37" s="34">
        <v>800</v>
      </c>
      <c r="D37" s="12">
        <v>350</v>
      </c>
      <c r="E37" s="13" t="s">
        <v>61</v>
      </c>
      <c r="F37" s="15">
        <v>8</v>
      </c>
      <c r="G37" s="15">
        <v>8</v>
      </c>
      <c r="H37" s="27"/>
      <c r="I37" s="27"/>
      <c r="J37" s="27"/>
      <c r="K37" s="27"/>
      <c r="L37" s="27"/>
      <c r="M37" s="27"/>
      <c r="N37" s="27"/>
      <c r="O37" s="27"/>
      <c r="P37" s="27"/>
      <c r="Q37" s="27">
        <f t="shared" si="1"/>
        <v>0</v>
      </c>
    </row>
    <row r="38" spans="1:17" ht="15">
      <c r="A38" s="10">
        <v>35</v>
      </c>
      <c r="B38" s="11" t="s">
        <v>91</v>
      </c>
      <c r="C38" s="12">
        <v>800</v>
      </c>
      <c r="D38" s="12">
        <v>220</v>
      </c>
      <c r="E38" s="13" t="s">
        <v>92</v>
      </c>
      <c r="F38" s="15">
        <v>10</v>
      </c>
      <c r="G38" s="15">
        <v>10</v>
      </c>
      <c r="H38" s="27"/>
      <c r="I38" s="27"/>
      <c r="J38" s="27"/>
      <c r="K38" s="27"/>
      <c r="L38" s="27"/>
      <c r="M38" s="27"/>
      <c r="N38" s="27"/>
      <c r="O38" s="27"/>
      <c r="P38" s="27">
        <v>2</v>
      </c>
      <c r="Q38" s="27">
        <f t="shared" si="1"/>
        <v>2</v>
      </c>
    </row>
    <row r="39" spans="1:17" ht="15">
      <c r="A39" s="10">
        <v>36</v>
      </c>
      <c r="B39" s="11" t="s">
        <v>111</v>
      </c>
      <c r="C39" s="36">
        <v>800</v>
      </c>
      <c r="D39" s="16">
        <v>590</v>
      </c>
      <c r="E39" s="17" t="s">
        <v>112</v>
      </c>
      <c r="F39" s="15">
        <v>10</v>
      </c>
      <c r="G39" s="15">
        <v>10</v>
      </c>
      <c r="H39" s="27"/>
      <c r="I39" s="27"/>
      <c r="J39" s="27"/>
      <c r="K39" s="27"/>
      <c r="L39" s="27"/>
      <c r="M39" s="27"/>
      <c r="N39" s="27"/>
      <c r="O39" s="27"/>
      <c r="P39" s="27"/>
      <c r="Q39" s="27">
        <f t="shared" si="1"/>
        <v>0</v>
      </c>
    </row>
    <row r="40" spans="1:17" ht="15">
      <c r="A40" s="10">
        <v>37</v>
      </c>
      <c r="B40" s="11" t="s">
        <v>113</v>
      </c>
      <c r="C40" s="34">
        <v>800</v>
      </c>
      <c r="D40" s="12">
        <v>200</v>
      </c>
      <c r="E40" s="13" t="s">
        <v>114</v>
      </c>
      <c r="F40" s="15">
        <v>10</v>
      </c>
      <c r="G40" s="15">
        <v>15</v>
      </c>
      <c r="H40" s="27"/>
      <c r="I40" s="27"/>
      <c r="J40" s="27"/>
      <c r="K40" s="27"/>
      <c r="L40" s="27"/>
      <c r="M40" s="27"/>
      <c r="N40" s="27"/>
      <c r="O40" s="27"/>
      <c r="P40" s="27"/>
      <c r="Q40" s="27">
        <f t="shared" si="1"/>
        <v>0</v>
      </c>
    </row>
    <row r="41" spans="1:17" ht="15">
      <c r="A41" s="10">
        <v>38</v>
      </c>
      <c r="B41" s="11" t="s">
        <v>71</v>
      </c>
      <c r="C41" s="16">
        <v>800</v>
      </c>
      <c r="D41" s="16">
        <v>225</v>
      </c>
      <c r="E41" s="17" t="s">
        <v>72</v>
      </c>
      <c r="F41" s="15">
        <v>10</v>
      </c>
      <c r="G41" s="15">
        <v>10</v>
      </c>
      <c r="H41" s="27"/>
      <c r="I41" s="27"/>
      <c r="J41" s="27"/>
      <c r="K41" s="27"/>
      <c r="L41" s="27"/>
      <c r="M41" s="27"/>
      <c r="N41" s="27"/>
      <c r="O41" s="27"/>
      <c r="P41" s="27"/>
      <c r="Q41" s="27">
        <f t="shared" si="1"/>
        <v>0</v>
      </c>
    </row>
    <row r="42" spans="1:17" ht="15">
      <c r="A42" s="10">
        <v>39</v>
      </c>
      <c r="B42" s="11" t="s">
        <v>73</v>
      </c>
      <c r="C42" s="16">
        <v>800</v>
      </c>
      <c r="D42" s="16">
        <v>675</v>
      </c>
      <c r="E42" s="17" t="s">
        <v>74</v>
      </c>
      <c r="F42" s="15">
        <v>5</v>
      </c>
      <c r="G42" s="15">
        <v>5</v>
      </c>
      <c r="H42" s="27"/>
      <c r="I42" s="27"/>
      <c r="J42" s="27"/>
      <c r="K42" s="27"/>
      <c r="L42" s="27"/>
      <c r="M42" s="27"/>
      <c r="N42" s="27"/>
      <c r="O42" s="27"/>
      <c r="P42" s="27"/>
      <c r="Q42" s="27">
        <f t="shared" si="1"/>
        <v>0</v>
      </c>
    </row>
    <row r="43" spans="1:17" ht="15">
      <c r="A43" s="10">
        <v>40</v>
      </c>
      <c r="B43" s="11" t="s">
        <v>75</v>
      </c>
      <c r="C43" s="12">
        <v>800</v>
      </c>
      <c r="D43" s="12">
        <v>450</v>
      </c>
      <c r="E43" s="13" t="s">
        <v>76</v>
      </c>
      <c r="F43" s="15">
        <v>8</v>
      </c>
      <c r="G43" s="15">
        <v>8</v>
      </c>
      <c r="H43" s="27"/>
      <c r="I43" s="27"/>
      <c r="J43" s="27"/>
      <c r="K43" s="27"/>
      <c r="L43" s="27"/>
      <c r="M43" s="27"/>
      <c r="N43" s="27"/>
      <c r="O43" s="27"/>
      <c r="P43" s="27"/>
      <c r="Q43" s="27">
        <f t="shared" si="1"/>
        <v>0</v>
      </c>
    </row>
    <row r="44" spans="1:17" ht="15">
      <c r="A44" s="10">
        <v>41</v>
      </c>
      <c r="B44" s="18" t="s">
        <v>77</v>
      </c>
      <c r="C44" s="12">
        <v>800</v>
      </c>
      <c r="D44" s="12">
        <v>450</v>
      </c>
      <c r="E44" s="13" t="s">
        <v>76</v>
      </c>
      <c r="F44" s="15">
        <v>8</v>
      </c>
      <c r="G44" s="15">
        <v>8</v>
      </c>
      <c r="H44" s="27"/>
      <c r="I44" s="27"/>
      <c r="J44" s="27"/>
      <c r="K44" s="27"/>
      <c r="L44" s="27"/>
      <c r="M44" s="27"/>
      <c r="N44" s="27"/>
      <c r="O44" s="27"/>
      <c r="P44" s="27"/>
      <c r="Q44" s="27">
        <f t="shared" si="1"/>
        <v>0</v>
      </c>
    </row>
    <row r="45" spans="1:17" ht="15">
      <c r="A45" s="10">
        <v>42</v>
      </c>
      <c r="B45" s="11" t="s">
        <v>115</v>
      </c>
      <c r="C45" s="16">
        <v>800</v>
      </c>
      <c r="D45" s="16">
        <v>360</v>
      </c>
      <c r="E45" s="17" t="s">
        <v>81</v>
      </c>
      <c r="F45" s="15">
        <v>8</v>
      </c>
      <c r="G45" s="15">
        <v>10</v>
      </c>
      <c r="H45" s="27"/>
      <c r="I45" s="27"/>
      <c r="J45" s="27">
        <v>1</v>
      </c>
      <c r="K45" s="27"/>
      <c r="L45" s="27"/>
      <c r="M45" s="27"/>
      <c r="N45" s="27"/>
      <c r="O45" s="27"/>
      <c r="P45" s="27"/>
      <c r="Q45" s="27">
        <f t="shared" si="1"/>
        <v>1</v>
      </c>
    </row>
    <row r="46" spans="1:17" ht="15">
      <c r="A46" s="10">
        <v>43</v>
      </c>
      <c r="B46" s="11" t="s">
        <v>80</v>
      </c>
      <c r="C46" s="16">
        <v>800</v>
      </c>
      <c r="D46" s="16">
        <v>400</v>
      </c>
      <c r="E46" s="17" t="s">
        <v>81</v>
      </c>
      <c r="F46" s="15">
        <v>8</v>
      </c>
      <c r="G46" s="15">
        <v>10</v>
      </c>
      <c r="H46" s="27"/>
      <c r="I46" s="27">
        <v>1</v>
      </c>
      <c r="J46" s="27"/>
      <c r="K46" s="27">
        <v>1</v>
      </c>
      <c r="L46" s="27"/>
      <c r="M46" s="27"/>
      <c r="N46" s="27">
        <v>1</v>
      </c>
      <c r="O46" s="27"/>
      <c r="P46" s="27"/>
      <c r="Q46" s="27">
        <f t="shared" si="1"/>
        <v>3</v>
      </c>
    </row>
    <row r="47" spans="1:17" ht="15">
      <c r="A47" s="10">
        <v>44</v>
      </c>
      <c r="B47" s="11" t="s">
        <v>82</v>
      </c>
      <c r="C47" s="16">
        <v>800</v>
      </c>
      <c r="D47" s="16">
        <v>400</v>
      </c>
      <c r="E47" s="17" t="s">
        <v>81</v>
      </c>
      <c r="F47" s="15">
        <v>8</v>
      </c>
      <c r="G47" s="15">
        <v>10</v>
      </c>
      <c r="H47" s="27"/>
      <c r="I47" s="27">
        <v>1</v>
      </c>
      <c r="J47" s="27"/>
      <c r="K47" s="27"/>
      <c r="L47" s="27"/>
      <c r="M47" s="27"/>
      <c r="N47" s="27">
        <v>1</v>
      </c>
      <c r="O47" s="27">
        <v>2</v>
      </c>
      <c r="P47" s="27"/>
      <c r="Q47" s="27">
        <f t="shared" si="1"/>
        <v>4</v>
      </c>
    </row>
    <row r="48" spans="1:17" ht="15">
      <c r="A48" s="10">
        <v>45</v>
      </c>
      <c r="B48" s="11" t="s">
        <v>116</v>
      </c>
      <c r="C48" s="16">
        <v>800</v>
      </c>
      <c r="D48" s="16">
        <v>650</v>
      </c>
      <c r="E48" s="17" t="s">
        <v>84</v>
      </c>
      <c r="F48" s="15">
        <v>8</v>
      </c>
      <c r="G48" s="15">
        <v>8</v>
      </c>
      <c r="H48" s="27"/>
      <c r="I48" s="27"/>
      <c r="J48" s="27"/>
      <c r="K48" s="27"/>
      <c r="L48" s="27"/>
      <c r="M48" s="27"/>
      <c r="N48" s="27"/>
      <c r="O48" s="27"/>
      <c r="P48" s="27"/>
      <c r="Q48" s="27">
        <f t="shared" si="1"/>
        <v>0</v>
      </c>
    </row>
    <row r="49" spans="1:17" ht="15">
      <c r="A49" s="10">
        <v>46</v>
      </c>
      <c r="B49" s="11" t="s">
        <v>117</v>
      </c>
      <c r="C49" s="16">
        <v>800</v>
      </c>
      <c r="D49" s="16">
        <v>300</v>
      </c>
      <c r="E49" s="17" t="s">
        <v>84</v>
      </c>
      <c r="F49" s="15">
        <v>10</v>
      </c>
      <c r="G49" s="15">
        <v>12</v>
      </c>
      <c r="H49" s="27"/>
      <c r="I49" s="27"/>
      <c r="J49" s="27"/>
      <c r="K49" s="27"/>
      <c r="L49" s="27"/>
      <c r="M49" s="27"/>
      <c r="N49" s="27"/>
      <c r="O49" s="27">
        <v>2</v>
      </c>
      <c r="P49" s="27"/>
      <c r="Q49" s="27">
        <f t="shared" si="1"/>
        <v>2</v>
      </c>
    </row>
    <row r="50" spans="1:17" ht="15">
      <c r="A50" s="10">
        <v>47</v>
      </c>
      <c r="B50" s="11" t="s">
        <v>86</v>
      </c>
      <c r="C50" s="16">
        <v>800</v>
      </c>
      <c r="D50" s="16">
        <v>225</v>
      </c>
      <c r="E50" s="17" t="s">
        <v>84</v>
      </c>
      <c r="F50" s="15">
        <v>6</v>
      </c>
      <c r="G50" s="15">
        <v>10</v>
      </c>
      <c r="H50" s="27"/>
      <c r="I50" s="27"/>
      <c r="J50" s="27"/>
      <c r="K50" s="27"/>
      <c r="L50" s="27"/>
      <c r="M50" s="27"/>
      <c r="N50" s="27"/>
      <c r="O50" s="27"/>
      <c r="P50" s="27">
        <v>1</v>
      </c>
      <c r="Q50" s="27">
        <f t="shared" si="1"/>
        <v>1</v>
      </c>
    </row>
    <row r="51" spans="1:17" ht="15">
      <c r="A51" s="10">
        <v>48</v>
      </c>
      <c r="B51" s="11" t="s">
        <v>87</v>
      </c>
      <c r="C51" s="16">
        <v>800</v>
      </c>
      <c r="D51" s="16">
        <v>250</v>
      </c>
      <c r="E51" s="17" t="s">
        <v>88</v>
      </c>
      <c r="F51" s="15">
        <v>12</v>
      </c>
      <c r="G51" s="15">
        <v>6</v>
      </c>
      <c r="H51" s="27"/>
      <c r="I51" s="27"/>
      <c r="J51" s="27"/>
      <c r="K51" s="27"/>
      <c r="L51" s="27"/>
      <c r="M51" s="27"/>
      <c r="N51" s="27"/>
      <c r="O51" s="27"/>
      <c r="P51" s="27"/>
      <c r="Q51" s="27">
        <f t="shared" si="1"/>
        <v>0</v>
      </c>
    </row>
    <row r="52" spans="1:17" ht="15">
      <c r="A52" s="10">
        <v>49</v>
      </c>
      <c r="B52" s="11" t="s">
        <v>89</v>
      </c>
      <c r="C52" s="16">
        <v>800</v>
      </c>
      <c r="D52" s="16">
        <v>220</v>
      </c>
      <c r="E52" s="17" t="s">
        <v>90</v>
      </c>
      <c r="F52" s="15">
        <v>15</v>
      </c>
      <c r="G52" s="15">
        <v>15</v>
      </c>
      <c r="H52" s="27"/>
      <c r="I52" s="27"/>
      <c r="J52" s="27"/>
      <c r="K52" s="27">
        <v>1</v>
      </c>
      <c r="L52" s="27"/>
      <c r="M52" s="27"/>
      <c r="N52" s="27"/>
      <c r="O52" s="27"/>
      <c r="P52" s="27"/>
      <c r="Q52" s="27">
        <f t="shared" si="1"/>
        <v>1</v>
      </c>
    </row>
    <row r="53" spans="1:17" ht="15">
      <c r="A53" s="10">
        <v>50</v>
      </c>
      <c r="B53" s="11" t="s">
        <v>118</v>
      </c>
      <c r="C53" s="37" t="s">
        <v>16</v>
      </c>
      <c r="D53" s="16">
        <v>200</v>
      </c>
      <c r="E53" s="17" t="s">
        <v>119</v>
      </c>
      <c r="F53" s="15">
        <v>15</v>
      </c>
      <c r="G53" s="15">
        <v>8</v>
      </c>
      <c r="H53" s="27">
        <v>1</v>
      </c>
      <c r="I53" s="27"/>
      <c r="J53" s="27"/>
      <c r="K53" s="27">
        <v>1</v>
      </c>
      <c r="L53" s="27">
        <v>1</v>
      </c>
      <c r="M53" s="27"/>
      <c r="N53" s="27"/>
      <c r="O53" s="27"/>
      <c r="P53" s="27">
        <v>2</v>
      </c>
      <c r="Q53" s="27">
        <f t="shared" si="1"/>
        <v>5</v>
      </c>
    </row>
    <row r="54" spans="1:17" ht="15">
      <c r="A54" s="10">
        <v>51</v>
      </c>
      <c r="B54" s="11" t="s">
        <v>120</v>
      </c>
      <c r="C54" s="37" t="s">
        <v>16</v>
      </c>
      <c r="D54" s="16">
        <v>250</v>
      </c>
      <c r="E54" s="17" t="s">
        <v>119</v>
      </c>
      <c r="F54" s="15">
        <v>15</v>
      </c>
      <c r="G54" s="15">
        <v>8</v>
      </c>
      <c r="H54" s="27"/>
      <c r="I54" s="27"/>
      <c r="J54" s="27"/>
      <c r="K54" s="27"/>
      <c r="L54" s="27">
        <v>1</v>
      </c>
      <c r="M54" s="27"/>
      <c r="N54" s="27"/>
      <c r="O54" s="27"/>
      <c r="P54" s="27"/>
      <c r="Q54" s="27">
        <f t="shared" si="1"/>
        <v>1</v>
      </c>
    </row>
    <row r="55" spans="1:17" ht="15">
      <c r="A55" s="10">
        <v>52</v>
      </c>
      <c r="B55" s="11" t="s">
        <v>121</v>
      </c>
      <c r="C55" s="16">
        <v>800</v>
      </c>
      <c r="D55" s="16">
        <v>350</v>
      </c>
      <c r="E55" s="17" t="s">
        <v>122</v>
      </c>
      <c r="F55" s="15">
        <v>10</v>
      </c>
      <c r="G55" s="15">
        <v>10</v>
      </c>
      <c r="H55" s="27">
        <v>1</v>
      </c>
      <c r="I55" s="27"/>
      <c r="J55" s="27"/>
      <c r="K55" s="27"/>
      <c r="L55" s="27"/>
      <c r="M55" s="27"/>
      <c r="N55" s="27"/>
      <c r="O55" s="27"/>
      <c r="P55" s="27"/>
      <c r="Q55" s="27">
        <f t="shared" si="1"/>
        <v>1</v>
      </c>
    </row>
    <row r="56" spans="1:17" ht="15">
      <c r="A56" s="10">
        <v>53</v>
      </c>
      <c r="B56" s="11" t="s">
        <v>123</v>
      </c>
      <c r="C56" s="16">
        <v>800</v>
      </c>
      <c r="D56" s="16">
        <v>350</v>
      </c>
      <c r="E56" s="17" t="s">
        <v>122</v>
      </c>
      <c r="F56" s="15">
        <v>10</v>
      </c>
      <c r="G56" s="15">
        <v>10</v>
      </c>
      <c r="H56" s="27"/>
      <c r="I56" s="27"/>
      <c r="J56" s="27"/>
      <c r="K56" s="27"/>
      <c r="L56" s="27"/>
      <c r="M56" s="27"/>
      <c r="N56" s="27"/>
      <c r="O56" s="27">
        <v>2</v>
      </c>
      <c r="P56" s="27"/>
      <c r="Q56" s="27">
        <f t="shared" si="1"/>
        <v>2</v>
      </c>
    </row>
    <row r="57" spans="1:17" ht="15">
      <c r="A57" s="10">
        <v>54</v>
      </c>
      <c r="B57" s="11" t="s">
        <v>124</v>
      </c>
      <c r="C57" s="16">
        <v>800</v>
      </c>
      <c r="D57" s="16">
        <v>350</v>
      </c>
      <c r="E57" s="17" t="s">
        <v>125</v>
      </c>
      <c r="F57" s="15">
        <v>10</v>
      </c>
      <c r="G57" s="15">
        <v>10</v>
      </c>
      <c r="H57" s="27"/>
      <c r="I57" s="27"/>
      <c r="J57" s="27"/>
      <c r="K57" s="27"/>
      <c r="L57" s="27"/>
      <c r="M57" s="27"/>
      <c r="N57" s="27"/>
      <c r="O57" s="27"/>
      <c r="P57" s="27"/>
      <c r="Q57" s="27">
        <f t="shared" si="1"/>
        <v>0</v>
      </c>
    </row>
    <row r="58" spans="1:17" ht="15">
      <c r="A58" s="10">
        <v>55</v>
      </c>
      <c r="B58" s="11" t="s">
        <v>68</v>
      </c>
      <c r="C58" s="16">
        <v>800</v>
      </c>
      <c r="D58" s="16">
        <v>150</v>
      </c>
      <c r="E58" s="38" t="s">
        <v>67</v>
      </c>
      <c r="F58" s="15">
        <v>10</v>
      </c>
      <c r="G58" s="15">
        <v>10</v>
      </c>
      <c r="H58" s="27"/>
      <c r="I58" s="27"/>
      <c r="J58" s="27">
        <v>1</v>
      </c>
      <c r="K58" s="27"/>
      <c r="L58" s="27"/>
      <c r="M58" s="27"/>
      <c r="N58" s="27"/>
      <c r="O58" s="27"/>
      <c r="P58" s="27"/>
      <c r="Q58" s="27">
        <f t="shared" si="1"/>
        <v>1</v>
      </c>
    </row>
    <row r="59" spans="1:17" ht="15">
      <c r="A59" s="10">
        <v>56</v>
      </c>
      <c r="B59" s="11" t="s">
        <v>126</v>
      </c>
      <c r="C59" s="16">
        <v>800</v>
      </c>
      <c r="D59" s="16">
        <v>300</v>
      </c>
      <c r="E59" s="38" t="s">
        <v>67</v>
      </c>
      <c r="F59" s="15">
        <v>10</v>
      </c>
      <c r="G59" s="15">
        <v>10</v>
      </c>
      <c r="H59" s="27"/>
      <c r="I59" s="27">
        <v>1</v>
      </c>
      <c r="J59" s="27"/>
      <c r="K59" s="27"/>
      <c r="L59" s="27"/>
      <c r="M59" s="27"/>
      <c r="N59" s="27"/>
      <c r="O59" s="27">
        <v>1</v>
      </c>
      <c r="P59" s="27"/>
      <c r="Q59" s="27">
        <f t="shared" si="1"/>
        <v>2</v>
      </c>
    </row>
    <row r="60" spans="1:17" ht="15">
      <c r="A60" s="10">
        <v>57</v>
      </c>
      <c r="B60" s="11" t="s">
        <v>127</v>
      </c>
      <c r="C60" s="16">
        <v>800</v>
      </c>
      <c r="D60" s="16">
        <v>325</v>
      </c>
      <c r="E60" s="17" t="s">
        <v>128</v>
      </c>
      <c r="F60" s="15">
        <v>20</v>
      </c>
      <c r="G60" s="15">
        <v>15</v>
      </c>
      <c r="H60" s="27"/>
      <c r="I60" s="27"/>
      <c r="J60" s="27"/>
      <c r="K60" s="27">
        <v>1</v>
      </c>
      <c r="L60" s="27"/>
      <c r="M60" s="27"/>
      <c r="N60" s="27"/>
      <c r="O60" s="27">
        <v>2</v>
      </c>
      <c r="P60" s="27"/>
      <c r="Q60" s="27">
        <f t="shared" si="1"/>
        <v>3</v>
      </c>
    </row>
    <row r="61" spans="1:17" ht="15">
      <c r="A61" s="10">
        <v>58</v>
      </c>
      <c r="B61" s="11" t="s">
        <v>129</v>
      </c>
      <c r="C61" s="16">
        <v>800</v>
      </c>
      <c r="D61" s="16">
        <v>350</v>
      </c>
      <c r="E61" s="17" t="s">
        <v>130</v>
      </c>
      <c r="F61" s="15">
        <v>10</v>
      </c>
      <c r="G61" s="15">
        <v>12</v>
      </c>
      <c r="H61" s="27"/>
      <c r="I61" s="27"/>
      <c r="J61" s="27"/>
      <c r="K61" s="27">
        <v>1</v>
      </c>
      <c r="L61" s="27"/>
      <c r="M61" s="27"/>
      <c r="N61" s="27"/>
      <c r="O61" s="27"/>
      <c r="P61" s="27"/>
      <c r="Q61" s="27">
        <f t="shared" si="1"/>
        <v>1</v>
      </c>
    </row>
    <row r="62" spans="1:17" ht="15">
      <c r="A62" s="10">
        <v>59</v>
      </c>
      <c r="B62" s="11" t="s">
        <v>131</v>
      </c>
      <c r="C62" s="16">
        <v>800</v>
      </c>
      <c r="D62" s="16">
        <v>400</v>
      </c>
      <c r="E62" s="17" t="s">
        <v>130</v>
      </c>
      <c r="F62" s="15">
        <v>10</v>
      </c>
      <c r="G62" s="15">
        <v>10</v>
      </c>
      <c r="H62" s="27"/>
      <c r="I62" s="27"/>
      <c r="J62" s="27"/>
      <c r="K62" s="27"/>
      <c r="L62" s="27"/>
      <c r="M62" s="27"/>
      <c r="N62" s="27"/>
      <c r="O62" s="27"/>
      <c r="P62" s="27"/>
      <c r="Q62" s="27">
        <f t="shared" si="1"/>
        <v>0</v>
      </c>
    </row>
    <row r="63" spans="1:17" ht="15">
      <c r="A63" s="10">
        <v>60</v>
      </c>
      <c r="B63" s="11" t="s">
        <v>132</v>
      </c>
      <c r="C63" s="16">
        <v>800</v>
      </c>
      <c r="D63" s="16">
        <v>350</v>
      </c>
      <c r="E63" s="17" t="s">
        <v>130</v>
      </c>
      <c r="F63" s="15">
        <v>10</v>
      </c>
      <c r="G63" s="15">
        <v>12</v>
      </c>
      <c r="H63" s="27"/>
      <c r="I63" s="27"/>
      <c r="J63" s="27"/>
      <c r="K63" s="27"/>
      <c r="L63" s="27">
        <v>1</v>
      </c>
      <c r="M63" s="27"/>
      <c r="N63" s="27"/>
      <c r="O63" s="27"/>
      <c r="P63" s="27"/>
      <c r="Q63" s="27">
        <f t="shared" si="1"/>
        <v>1</v>
      </c>
    </row>
    <row r="64" spans="1:17" ht="15">
      <c r="A64" s="10">
        <v>61</v>
      </c>
      <c r="B64" s="11" t="s">
        <v>133</v>
      </c>
      <c r="C64" s="16">
        <v>800</v>
      </c>
      <c r="D64" s="16">
        <v>400</v>
      </c>
      <c r="E64" s="17" t="s">
        <v>130</v>
      </c>
      <c r="F64" s="15">
        <v>10</v>
      </c>
      <c r="G64" s="15">
        <v>6</v>
      </c>
      <c r="H64" s="27"/>
      <c r="I64" s="27"/>
      <c r="J64" s="27"/>
      <c r="K64" s="27"/>
      <c r="L64" s="27"/>
      <c r="M64" s="27"/>
      <c r="N64" s="27"/>
      <c r="O64" s="27"/>
      <c r="P64" s="27"/>
      <c r="Q64" s="27">
        <f t="shared" si="1"/>
        <v>0</v>
      </c>
    </row>
    <row r="65" spans="1:17" ht="15">
      <c r="A65" s="10">
        <v>62</v>
      </c>
      <c r="B65" s="11" t="s">
        <v>134</v>
      </c>
      <c r="C65" s="36" t="s">
        <v>16</v>
      </c>
      <c r="D65" s="16"/>
      <c r="E65" s="17" t="s">
        <v>135</v>
      </c>
      <c r="F65" s="15">
        <v>15</v>
      </c>
      <c r="G65" s="15">
        <v>15</v>
      </c>
      <c r="H65" s="27"/>
      <c r="I65" s="27"/>
      <c r="J65" s="27"/>
      <c r="K65" s="27"/>
      <c r="L65" s="27"/>
      <c r="M65" s="27"/>
      <c r="N65" s="27"/>
      <c r="O65" s="27"/>
      <c r="P65" s="27"/>
      <c r="Q65" s="27">
        <f t="shared" si="1"/>
        <v>0</v>
      </c>
    </row>
    <row r="66" spans="1:17" ht="15">
      <c r="A66" s="10">
        <v>63</v>
      </c>
      <c r="B66" s="11" t="s">
        <v>136</v>
      </c>
      <c r="C66" s="36">
        <v>800</v>
      </c>
      <c r="D66" s="16">
        <v>350</v>
      </c>
      <c r="E66" s="17" t="s">
        <v>137</v>
      </c>
      <c r="F66" s="15">
        <v>10</v>
      </c>
      <c r="G66" s="15">
        <v>4</v>
      </c>
      <c r="H66" s="27"/>
      <c r="I66" s="27"/>
      <c r="J66" s="27"/>
      <c r="K66" s="27"/>
      <c r="L66" s="27"/>
      <c r="M66" s="27"/>
      <c r="N66" s="27"/>
      <c r="O66" s="27"/>
      <c r="P66" s="27"/>
      <c r="Q66" s="27">
        <f t="shared" si="1"/>
        <v>0</v>
      </c>
    </row>
    <row r="67" spans="1:17" ht="15">
      <c r="A67" s="10">
        <v>64</v>
      </c>
      <c r="B67" s="35" t="s">
        <v>138</v>
      </c>
      <c r="C67" s="36">
        <v>800</v>
      </c>
      <c r="D67" s="16">
        <v>650</v>
      </c>
      <c r="E67" s="38" t="s">
        <v>139</v>
      </c>
      <c r="F67" s="15">
        <v>10</v>
      </c>
      <c r="G67" s="15">
        <v>10</v>
      </c>
      <c r="H67" s="27"/>
      <c r="I67" s="27"/>
      <c r="J67" s="27"/>
      <c r="K67" s="27"/>
      <c r="L67" s="27"/>
      <c r="M67" s="27"/>
      <c r="N67" s="27"/>
      <c r="O67" s="27"/>
      <c r="P67" s="27"/>
      <c r="Q67" s="27">
        <f t="shared" si="1"/>
        <v>0</v>
      </c>
    </row>
    <row r="68" spans="1:17" ht="15">
      <c r="A68" s="10">
        <v>65</v>
      </c>
      <c r="B68" s="11" t="s">
        <v>140</v>
      </c>
      <c r="C68" s="36">
        <v>800</v>
      </c>
      <c r="D68" s="16">
        <v>250</v>
      </c>
      <c r="E68" s="38" t="s">
        <v>141</v>
      </c>
      <c r="F68" s="15">
        <v>10</v>
      </c>
      <c r="G68" s="15">
        <v>10</v>
      </c>
      <c r="H68" s="27"/>
      <c r="I68" s="27"/>
      <c r="J68" s="27"/>
      <c r="K68" s="27"/>
      <c r="L68" s="27"/>
      <c r="M68" s="27"/>
      <c r="N68" s="27"/>
      <c r="O68" s="27"/>
      <c r="P68" s="27"/>
      <c r="Q68" s="27">
        <f t="shared" ref="Q68:Q99" si="2">SUM(H68:P68)</f>
        <v>0</v>
      </c>
    </row>
    <row r="69" spans="1:17" ht="15">
      <c r="A69" s="10">
        <v>66</v>
      </c>
      <c r="B69" s="35" t="s">
        <v>142</v>
      </c>
      <c r="C69" s="36">
        <v>800</v>
      </c>
      <c r="D69" s="16">
        <v>1000</v>
      </c>
      <c r="E69" s="38" t="s">
        <v>141</v>
      </c>
      <c r="F69" s="15">
        <v>10</v>
      </c>
      <c r="G69" s="15">
        <v>10</v>
      </c>
      <c r="H69" s="27"/>
      <c r="I69" s="27"/>
      <c r="J69" s="27"/>
      <c r="K69" s="27"/>
      <c r="L69" s="27"/>
      <c r="M69" s="27"/>
      <c r="N69" s="27"/>
      <c r="O69" s="27"/>
      <c r="P69" s="27"/>
      <c r="Q69" s="27">
        <f t="shared" si="2"/>
        <v>0</v>
      </c>
    </row>
    <row r="70" spans="1:17" ht="15">
      <c r="A70" s="10">
        <v>67</v>
      </c>
      <c r="B70" s="11" t="s">
        <v>143</v>
      </c>
      <c r="C70" s="36">
        <v>800</v>
      </c>
      <c r="D70" s="16">
        <v>300</v>
      </c>
      <c r="E70" s="17" t="s">
        <v>144</v>
      </c>
      <c r="F70" s="15">
        <v>10</v>
      </c>
      <c r="G70" s="15">
        <v>10</v>
      </c>
      <c r="H70" s="27"/>
      <c r="I70" s="27"/>
      <c r="J70" s="27"/>
      <c r="K70" s="27"/>
      <c r="L70" s="27"/>
      <c r="M70" s="27"/>
      <c r="N70" s="27"/>
      <c r="O70" s="27"/>
      <c r="P70" s="27"/>
      <c r="Q70" s="27">
        <f t="shared" si="2"/>
        <v>0</v>
      </c>
    </row>
    <row r="71" spans="1:17" ht="15">
      <c r="A71" s="10">
        <v>68</v>
      </c>
      <c r="B71" s="11" t="s">
        <v>145</v>
      </c>
      <c r="C71" s="36">
        <v>800</v>
      </c>
      <c r="D71" s="16">
        <v>600</v>
      </c>
      <c r="E71" s="17" t="s">
        <v>144</v>
      </c>
      <c r="F71" s="15">
        <v>10</v>
      </c>
      <c r="G71" s="15">
        <v>10</v>
      </c>
      <c r="H71" s="27"/>
      <c r="I71" s="27"/>
      <c r="J71" s="27"/>
      <c r="K71" s="27"/>
      <c r="L71" s="27"/>
      <c r="M71" s="27"/>
      <c r="N71" s="27"/>
      <c r="O71" s="27"/>
      <c r="P71" s="27"/>
      <c r="Q71" s="27">
        <f t="shared" si="2"/>
        <v>0</v>
      </c>
    </row>
    <row r="72" spans="1:17" ht="15">
      <c r="A72" s="10">
        <v>69</v>
      </c>
      <c r="B72" s="11" t="s">
        <v>146</v>
      </c>
      <c r="C72" s="36">
        <v>800</v>
      </c>
      <c r="D72" s="16">
        <v>200</v>
      </c>
      <c r="E72" s="17" t="s">
        <v>144</v>
      </c>
      <c r="F72" s="15">
        <v>10</v>
      </c>
      <c r="G72" s="15">
        <v>10</v>
      </c>
      <c r="H72" s="27"/>
      <c r="I72" s="27"/>
      <c r="J72" s="27"/>
      <c r="K72" s="27"/>
      <c r="L72" s="27"/>
      <c r="M72" s="27"/>
      <c r="N72" s="27"/>
      <c r="O72" s="27"/>
      <c r="P72" s="27"/>
      <c r="Q72" s="27">
        <f t="shared" si="2"/>
        <v>0</v>
      </c>
    </row>
    <row r="73" spans="1:17" ht="15">
      <c r="A73" s="10">
        <v>70</v>
      </c>
      <c r="B73" s="11" t="s">
        <v>147</v>
      </c>
      <c r="C73" s="36">
        <v>800</v>
      </c>
      <c r="D73" s="16">
        <v>800</v>
      </c>
      <c r="E73" s="17" t="s">
        <v>148</v>
      </c>
      <c r="F73" s="15">
        <v>10</v>
      </c>
      <c r="G73" s="15">
        <v>3</v>
      </c>
      <c r="H73" s="27"/>
      <c r="I73" s="27"/>
      <c r="J73" s="27"/>
      <c r="K73" s="27"/>
      <c r="L73" s="27"/>
      <c r="M73" s="27"/>
      <c r="N73" s="27"/>
      <c r="O73" s="27"/>
      <c r="P73" s="27"/>
      <c r="Q73" s="27">
        <f t="shared" si="2"/>
        <v>0</v>
      </c>
    </row>
    <row r="74" spans="1:17" ht="15">
      <c r="A74" s="10">
        <v>71</v>
      </c>
      <c r="B74" s="11" t="s">
        <v>78</v>
      </c>
      <c r="C74" s="16">
        <v>800</v>
      </c>
      <c r="D74" s="16">
        <v>450</v>
      </c>
      <c r="E74" s="17" t="s">
        <v>149</v>
      </c>
      <c r="F74" s="15">
        <v>10</v>
      </c>
      <c r="G74" s="15">
        <v>8</v>
      </c>
      <c r="H74" s="27"/>
      <c r="I74" s="27"/>
      <c r="J74" s="27"/>
      <c r="K74" s="27"/>
      <c r="L74" s="27"/>
      <c r="M74" s="27"/>
      <c r="N74" s="27"/>
      <c r="O74" s="27"/>
      <c r="P74" s="27"/>
      <c r="Q74" s="27">
        <f t="shared" si="2"/>
        <v>0</v>
      </c>
    </row>
    <row r="75" spans="1:17" ht="15">
      <c r="A75" s="10">
        <v>72</v>
      </c>
      <c r="B75" s="11" t="s">
        <v>150</v>
      </c>
      <c r="C75" s="16">
        <v>800</v>
      </c>
      <c r="D75" s="16">
        <v>300</v>
      </c>
      <c r="E75" s="38" t="s">
        <v>151</v>
      </c>
      <c r="F75" s="15">
        <v>10</v>
      </c>
      <c r="G75" s="15">
        <v>10</v>
      </c>
      <c r="H75" s="27"/>
      <c r="I75" s="27"/>
      <c r="J75" s="27"/>
      <c r="K75" s="27"/>
      <c r="L75" s="27"/>
      <c r="M75" s="27">
        <v>1</v>
      </c>
      <c r="N75" s="27">
        <v>2</v>
      </c>
      <c r="O75" s="27"/>
      <c r="P75" s="27">
        <v>1</v>
      </c>
      <c r="Q75" s="27">
        <f t="shared" si="2"/>
        <v>4</v>
      </c>
    </row>
    <row r="76" spans="1:17" ht="15">
      <c r="A76" s="10">
        <v>73</v>
      </c>
      <c r="B76" s="11" t="s">
        <v>152</v>
      </c>
      <c r="C76" s="12">
        <v>800</v>
      </c>
      <c r="D76" s="12">
        <v>363</v>
      </c>
      <c r="E76" s="33" t="s">
        <v>70</v>
      </c>
      <c r="F76" s="15">
        <v>8</v>
      </c>
      <c r="G76" s="15">
        <v>10</v>
      </c>
      <c r="H76" s="27"/>
      <c r="I76" s="27">
        <v>1</v>
      </c>
      <c r="J76" s="27"/>
      <c r="K76" s="27"/>
      <c r="L76" s="27"/>
      <c r="M76" s="27"/>
      <c r="N76" s="27"/>
      <c r="O76" s="27"/>
      <c r="P76" s="27"/>
      <c r="Q76" s="27">
        <f t="shared" si="2"/>
        <v>1</v>
      </c>
    </row>
    <row r="77" spans="1:17" ht="15">
      <c r="A77" s="10">
        <v>74</v>
      </c>
      <c r="B77" s="11" t="s">
        <v>153</v>
      </c>
      <c r="C77" s="12">
        <v>800</v>
      </c>
      <c r="D77" s="12">
        <v>500</v>
      </c>
      <c r="E77" s="33" t="s">
        <v>70</v>
      </c>
      <c r="F77" s="15">
        <v>8</v>
      </c>
      <c r="G77" s="15">
        <v>10</v>
      </c>
      <c r="H77" s="27"/>
      <c r="I77" s="27"/>
      <c r="J77" s="27"/>
      <c r="K77" s="27"/>
      <c r="L77" s="27"/>
      <c r="M77" s="27"/>
      <c r="N77" s="27"/>
      <c r="O77" s="27"/>
      <c r="P77" s="27"/>
      <c r="Q77" s="27">
        <f t="shared" si="2"/>
        <v>0</v>
      </c>
    </row>
    <row r="78" spans="1:17" ht="15">
      <c r="A78" s="10">
        <v>75</v>
      </c>
      <c r="B78" s="11" t="s">
        <v>69</v>
      </c>
      <c r="C78" s="39">
        <v>800</v>
      </c>
      <c r="D78" s="12">
        <v>500</v>
      </c>
      <c r="E78" s="33" t="s">
        <v>70</v>
      </c>
      <c r="F78" s="15">
        <v>8</v>
      </c>
      <c r="G78" s="40">
        <v>10</v>
      </c>
      <c r="H78" s="27"/>
      <c r="I78" s="27"/>
      <c r="J78" s="27"/>
      <c r="K78" s="27">
        <v>2</v>
      </c>
      <c r="L78" s="27"/>
      <c r="M78" s="27"/>
      <c r="N78" s="27"/>
      <c r="O78" s="27"/>
      <c r="P78" s="27"/>
      <c r="Q78" s="27">
        <f t="shared" si="2"/>
        <v>2</v>
      </c>
    </row>
    <row r="79" spans="1:17" ht="15">
      <c r="A79" s="10">
        <v>76</v>
      </c>
      <c r="B79" s="41" t="s">
        <v>154</v>
      </c>
      <c r="C79" s="39">
        <v>800</v>
      </c>
      <c r="D79" s="16">
        <v>260</v>
      </c>
      <c r="E79" s="38" t="s">
        <v>155</v>
      </c>
      <c r="F79" s="15">
        <v>10</v>
      </c>
      <c r="G79" s="42">
        <v>10</v>
      </c>
      <c r="H79" s="28"/>
      <c r="I79" s="27">
        <v>1</v>
      </c>
      <c r="J79" s="27"/>
      <c r="K79" s="27">
        <v>1</v>
      </c>
      <c r="L79" s="27">
        <v>1</v>
      </c>
      <c r="M79" s="27"/>
      <c r="N79" s="27">
        <v>1</v>
      </c>
      <c r="O79" s="27">
        <v>1</v>
      </c>
      <c r="P79" s="27"/>
      <c r="Q79" s="27">
        <f t="shared" si="2"/>
        <v>5</v>
      </c>
    </row>
    <row r="80" spans="1:17" ht="15">
      <c r="A80" s="10">
        <v>77</v>
      </c>
      <c r="B80" s="41" t="s">
        <v>156</v>
      </c>
      <c r="C80" s="39">
        <v>800</v>
      </c>
      <c r="D80" s="43">
        <v>549</v>
      </c>
      <c r="E80" s="44" t="s">
        <v>157</v>
      </c>
      <c r="F80" s="40">
        <v>10</v>
      </c>
      <c r="G80" s="45">
        <v>10</v>
      </c>
      <c r="H80" s="28"/>
      <c r="I80" s="27"/>
      <c r="J80" s="27">
        <v>1</v>
      </c>
      <c r="K80" s="27"/>
      <c r="L80" s="27"/>
      <c r="M80" s="27"/>
      <c r="N80" s="27"/>
      <c r="O80" s="27">
        <v>2</v>
      </c>
      <c r="P80" s="27"/>
      <c r="Q80" s="27">
        <f t="shared" si="2"/>
        <v>3</v>
      </c>
    </row>
    <row r="81" spans="1:17" ht="15">
      <c r="A81" s="10">
        <v>78</v>
      </c>
      <c r="B81" s="41" t="s">
        <v>158</v>
      </c>
      <c r="C81" s="12">
        <v>800</v>
      </c>
      <c r="D81" s="12">
        <v>150</v>
      </c>
      <c r="E81" s="33" t="s">
        <v>159</v>
      </c>
      <c r="F81" s="42">
        <v>10</v>
      </c>
      <c r="G81" s="42">
        <v>10</v>
      </c>
      <c r="H81" s="28"/>
      <c r="I81" s="27"/>
      <c r="J81" s="27"/>
      <c r="K81" s="27"/>
      <c r="L81" s="27"/>
      <c r="M81" s="27">
        <v>1</v>
      </c>
      <c r="N81" s="27">
        <v>1</v>
      </c>
      <c r="O81" s="27"/>
      <c r="P81" s="27"/>
      <c r="Q81" s="27">
        <f t="shared" si="2"/>
        <v>2</v>
      </c>
    </row>
    <row r="82" spans="1:17" ht="15">
      <c r="A82" s="10">
        <v>79</v>
      </c>
      <c r="B82" s="41" t="s">
        <v>160</v>
      </c>
      <c r="C82" s="32" t="s">
        <v>16</v>
      </c>
      <c r="D82" s="12">
        <v>300</v>
      </c>
      <c r="E82" s="33" t="s">
        <v>47</v>
      </c>
      <c r="F82" s="42">
        <v>10</v>
      </c>
      <c r="G82" s="42">
        <v>10</v>
      </c>
      <c r="H82" s="28"/>
      <c r="I82" s="27">
        <v>1</v>
      </c>
      <c r="J82" s="27"/>
      <c r="K82" s="27"/>
      <c r="L82" s="27"/>
      <c r="M82" s="27"/>
      <c r="N82" s="27"/>
      <c r="O82" s="27"/>
      <c r="P82" s="27"/>
      <c r="Q82" s="27">
        <f t="shared" si="2"/>
        <v>1</v>
      </c>
    </row>
    <row r="83" spans="1:17" ht="15.6" thickBot="1">
      <c r="A83" s="10">
        <v>80</v>
      </c>
      <c r="B83" s="41"/>
      <c r="C83" s="39"/>
      <c r="D83" s="12"/>
      <c r="E83" s="33"/>
      <c r="F83" s="45"/>
      <c r="G83" s="45"/>
      <c r="H83" s="28"/>
      <c r="I83" s="27"/>
      <c r="J83" s="27"/>
      <c r="K83" s="27"/>
      <c r="L83" s="27"/>
      <c r="M83" s="27"/>
      <c r="N83" s="27"/>
      <c r="O83" s="27"/>
      <c r="P83" s="27"/>
      <c r="Q83" s="27">
        <f t="shared" si="2"/>
        <v>0</v>
      </c>
    </row>
    <row r="84" spans="1:17" ht="21.6" thickBot="1">
      <c r="A84" s="10"/>
      <c r="B84" s="41"/>
      <c r="C84" s="46">
        <f>SUM(C4:C81)</f>
        <v>55200</v>
      </c>
      <c r="D84" s="47"/>
      <c r="E84" s="48"/>
      <c r="F84" s="49">
        <f>SUM(F4:F75)</f>
        <v>815</v>
      </c>
      <c r="G84" s="50">
        <f>SUM(G4:G82)</f>
        <v>850</v>
      </c>
      <c r="H84" s="29">
        <f t="shared" ref="H84:Q84" si="3">SUM(H4:H83)</f>
        <v>6</v>
      </c>
      <c r="I84" s="30">
        <f t="shared" si="3"/>
        <v>13</v>
      </c>
      <c r="J84" s="30">
        <f t="shared" si="3"/>
        <v>12</v>
      </c>
      <c r="K84" s="30">
        <f t="shared" si="3"/>
        <v>21</v>
      </c>
      <c r="L84" s="30">
        <f t="shared" si="3"/>
        <v>12</v>
      </c>
      <c r="M84" s="30">
        <f t="shared" si="3"/>
        <v>3</v>
      </c>
      <c r="N84" s="30">
        <f t="shared" si="3"/>
        <v>11</v>
      </c>
      <c r="O84" s="30">
        <f t="shared" si="3"/>
        <v>33</v>
      </c>
      <c r="P84" s="30">
        <f t="shared" si="3"/>
        <v>22</v>
      </c>
      <c r="Q84" s="31">
        <f t="shared" si="3"/>
        <v>133</v>
      </c>
    </row>
    <row r="108" spans="3:4">
      <c r="C108" s="23"/>
      <c r="D108" s="23"/>
    </row>
    <row r="109" spans="3:4">
      <c r="C109" s="23"/>
      <c r="D109" s="2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94" t="s">
        <v>165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25"/>
    </row>
    <row r="2" spans="1:17" ht="17.399999999999999">
      <c r="A2" s="109" t="s">
        <v>1</v>
      </c>
      <c r="B2" s="101" t="s">
        <v>2</v>
      </c>
      <c r="C2" s="101" t="s">
        <v>3</v>
      </c>
      <c r="D2" s="101" t="s">
        <v>4</v>
      </c>
      <c r="E2" s="99" t="s">
        <v>191</v>
      </c>
      <c r="F2" s="103" t="s">
        <v>192</v>
      </c>
      <c r="G2" s="104" t="s">
        <v>94</v>
      </c>
      <c r="H2" s="105"/>
      <c r="I2" s="105"/>
      <c r="J2" s="105"/>
      <c r="K2" s="105"/>
      <c r="L2" s="105"/>
      <c r="M2" s="105"/>
      <c r="N2" s="105"/>
      <c r="O2" s="106"/>
      <c r="P2" s="110" t="s">
        <v>193</v>
      </c>
      <c r="Q2" s="25"/>
    </row>
    <row r="3" spans="1:17" ht="56.4" customHeight="1">
      <c r="A3" s="108"/>
      <c r="B3" s="102"/>
      <c r="C3" s="102"/>
      <c r="D3" s="102"/>
      <c r="E3" s="102"/>
      <c r="F3" s="98"/>
      <c r="G3" s="26" t="s">
        <v>95</v>
      </c>
      <c r="H3" s="26" t="s">
        <v>96</v>
      </c>
      <c r="I3" s="26" t="s">
        <v>97</v>
      </c>
      <c r="J3" s="26" t="s">
        <v>98</v>
      </c>
      <c r="K3" s="26" t="s">
        <v>99</v>
      </c>
      <c r="L3" s="26" t="s">
        <v>100</v>
      </c>
      <c r="M3" s="26" t="s">
        <v>101</v>
      </c>
      <c r="N3" s="26" t="s">
        <v>102</v>
      </c>
      <c r="O3" s="26" t="s">
        <v>103</v>
      </c>
      <c r="P3" s="111"/>
      <c r="Q3" s="25"/>
    </row>
    <row r="4" spans="1:17" ht="15">
      <c r="A4" s="10">
        <v>1</v>
      </c>
      <c r="B4" s="11" t="s">
        <v>14</v>
      </c>
      <c r="C4" s="12">
        <v>300</v>
      </c>
      <c r="D4" s="13" t="s">
        <v>15</v>
      </c>
      <c r="E4" s="15">
        <v>10</v>
      </c>
      <c r="F4" s="15"/>
      <c r="G4" s="27"/>
      <c r="H4" s="27"/>
      <c r="I4" s="27"/>
      <c r="J4" s="27"/>
      <c r="K4" s="27"/>
      <c r="L4" s="27"/>
      <c r="M4" s="27"/>
      <c r="N4" s="27"/>
      <c r="O4" s="27"/>
      <c r="P4" s="27">
        <v>0</v>
      </c>
      <c r="Q4" s="25"/>
    </row>
    <row r="5" spans="1:17" ht="15">
      <c r="A5" s="10">
        <v>2</v>
      </c>
      <c r="B5" s="11" t="s">
        <v>17</v>
      </c>
      <c r="C5" s="12">
        <v>600</v>
      </c>
      <c r="D5" s="13" t="s">
        <v>15</v>
      </c>
      <c r="E5" s="15">
        <v>8</v>
      </c>
      <c r="F5" s="15"/>
      <c r="G5" s="27"/>
      <c r="H5" s="27"/>
      <c r="I5" s="27"/>
      <c r="J5" s="27"/>
      <c r="K5" s="27"/>
      <c r="L5" s="27"/>
      <c r="M5" s="27"/>
      <c r="N5" s="27"/>
      <c r="O5" s="27"/>
      <c r="P5" s="27">
        <v>0</v>
      </c>
      <c r="Q5" s="25"/>
    </row>
    <row r="6" spans="1:17" ht="15">
      <c r="A6" s="10">
        <v>3</v>
      </c>
      <c r="B6" s="11" t="s">
        <v>18</v>
      </c>
      <c r="C6" s="12">
        <v>350</v>
      </c>
      <c r="D6" s="13" t="s">
        <v>15</v>
      </c>
      <c r="E6" s="15">
        <v>8</v>
      </c>
      <c r="F6" s="15"/>
      <c r="G6" s="27"/>
      <c r="H6" s="27"/>
      <c r="I6" s="27"/>
      <c r="J6" s="27"/>
      <c r="K6" s="27"/>
      <c r="L6" s="27"/>
      <c r="M6" s="27"/>
      <c r="N6" s="27"/>
      <c r="O6" s="27"/>
      <c r="P6" s="27">
        <v>0</v>
      </c>
      <c r="Q6" s="25"/>
    </row>
    <row r="7" spans="1:17" ht="15">
      <c r="A7" s="10">
        <v>4</v>
      </c>
      <c r="B7" s="11" t="s">
        <v>19</v>
      </c>
      <c r="C7" s="12">
        <v>480</v>
      </c>
      <c r="D7" s="13" t="s">
        <v>15</v>
      </c>
      <c r="E7" s="15">
        <v>8</v>
      </c>
      <c r="F7" s="15"/>
      <c r="G7" s="27"/>
      <c r="H7" s="27"/>
      <c r="I7" s="27"/>
      <c r="J7" s="27"/>
      <c r="K7" s="27"/>
      <c r="L7" s="27"/>
      <c r="M7" s="27"/>
      <c r="N7" s="27"/>
      <c r="O7" s="27"/>
      <c r="P7" s="27">
        <v>0</v>
      </c>
      <c r="Q7" s="25"/>
    </row>
    <row r="8" spans="1:17" ht="15">
      <c r="A8" s="10">
        <v>5</v>
      </c>
      <c r="B8" s="11" t="s">
        <v>105</v>
      </c>
      <c r="C8" s="12">
        <v>250</v>
      </c>
      <c r="D8" s="13" t="s">
        <v>21</v>
      </c>
      <c r="E8" s="15">
        <v>10</v>
      </c>
      <c r="F8" s="15"/>
      <c r="G8" s="27"/>
      <c r="H8" s="27"/>
      <c r="I8" s="27"/>
      <c r="J8" s="27"/>
      <c r="K8" s="27"/>
      <c r="L8" s="27"/>
      <c r="M8" s="27"/>
      <c r="N8" s="27"/>
      <c r="O8" s="27"/>
      <c r="P8" s="27">
        <v>0</v>
      </c>
      <c r="Q8" s="25"/>
    </row>
    <row r="9" spans="1:17" ht="15">
      <c r="A9" s="10">
        <v>6</v>
      </c>
      <c r="B9" s="11" t="s">
        <v>22</v>
      </c>
      <c r="C9" s="12">
        <v>350</v>
      </c>
      <c r="D9" s="13" t="s">
        <v>21</v>
      </c>
      <c r="E9" s="15">
        <v>8</v>
      </c>
      <c r="F9" s="15"/>
      <c r="G9" s="27"/>
      <c r="H9" s="27"/>
      <c r="I9" s="27"/>
      <c r="J9" s="27"/>
      <c r="K9" s="27"/>
      <c r="L9" s="27"/>
      <c r="M9" s="27"/>
      <c r="N9" s="27"/>
      <c r="O9" s="27"/>
      <c r="P9" s="27">
        <v>0</v>
      </c>
      <c r="Q9" s="25"/>
    </row>
    <row r="10" spans="1:17" ht="15">
      <c r="A10" s="10">
        <v>7</v>
      </c>
      <c r="B10" s="11" t="s">
        <v>23</v>
      </c>
      <c r="C10" s="12">
        <v>300</v>
      </c>
      <c r="D10" s="33" t="s">
        <v>24</v>
      </c>
      <c r="E10" s="15">
        <v>10</v>
      </c>
      <c r="F10" s="15">
        <v>10</v>
      </c>
      <c r="G10" s="27"/>
      <c r="H10" s="27"/>
      <c r="I10" s="27"/>
      <c r="J10" s="27"/>
      <c r="K10" s="27"/>
      <c r="L10" s="27"/>
      <c r="M10" s="27"/>
      <c r="N10" s="27"/>
      <c r="O10" s="27"/>
      <c r="P10" s="27">
        <v>0</v>
      </c>
      <c r="Q10" s="25"/>
    </row>
    <row r="11" spans="1:17" ht="15">
      <c r="A11" s="10">
        <v>8</v>
      </c>
      <c r="B11" s="11" t="s">
        <v>106</v>
      </c>
      <c r="C11" s="12">
        <v>350</v>
      </c>
      <c r="D11" s="33" t="s">
        <v>24</v>
      </c>
      <c r="E11" s="15">
        <v>8</v>
      </c>
      <c r="F11" s="15">
        <v>10</v>
      </c>
      <c r="G11" s="27"/>
      <c r="H11" s="27"/>
      <c r="I11" s="27"/>
      <c r="J11" s="27"/>
      <c r="K11" s="27"/>
      <c r="L11" s="27"/>
      <c r="M11" s="27"/>
      <c r="N11" s="27"/>
      <c r="O11" s="27"/>
      <c r="P11" s="27">
        <v>0</v>
      </c>
      <c r="Q11" s="25"/>
    </row>
    <row r="12" spans="1:17" ht="15">
      <c r="A12" s="10">
        <v>9</v>
      </c>
      <c r="B12" s="11" t="s">
        <v>107</v>
      </c>
      <c r="C12" s="12">
        <v>350</v>
      </c>
      <c r="D12" s="33" t="s">
        <v>24</v>
      </c>
      <c r="E12" s="15">
        <v>8</v>
      </c>
      <c r="F12" s="15">
        <v>9</v>
      </c>
      <c r="G12" s="27"/>
      <c r="H12" s="27"/>
      <c r="I12" s="27"/>
      <c r="J12" s="27"/>
      <c r="K12" s="27"/>
      <c r="L12" s="27"/>
      <c r="M12" s="27"/>
      <c r="N12" s="27"/>
      <c r="O12" s="27"/>
      <c r="P12" s="27">
        <v>0</v>
      </c>
      <c r="Q12" s="25"/>
    </row>
    <row r="13" spans="1:17" ht="15">
      <c r="A13" s="10">
        <v>10</v>
      </c>
      <c r="B13" s="11" t="s">
        <v>29</v>
      </c>
      <c r="C13" s="12">
        <v>500</v>
      </c>
      <c r="D13" s="33" t="s">
        <v>24</v>
      </c>
      <c r="E13" s="15">
        <v>8</v>
      </c>
      <c r="F13" s="15">
        <v>7</v>
      </c>
      <c r="G13" s="27"/>
      <c r="H13" s="27"/>
      <c r="I13" s="27"/>
      <c r="J13" s="27"/>
      <c r="K13" s="27"/>
      <c r="L13" s="27"/>
      <c r="M13" s="27"/>
      <c r="N13" s="27"/>
      <c r="O13" s="27"/>
      <c r="P13" s="27">
        <v>0</v>
      </c>
      <c r="Q13" s="25"/>
    </row>
    <row r="14" spans="1:17" ht="15">
      <c r="A14" s="10">
        <v>11</v>
      </c>
      <c r="B14" s="11" t="s">
        <v>30</v>
      </c>
      <c r="C14" s="12">
        <v>220</v>
      </c>
      <c r="D14" s="13" t="s">
        <v>31</v>
      </c>
      <c r="E14" s="15">
        <v>10</v>
      </c>
      <c r="F14" s="15"/>
      <c r="G14" s="27"/>
      <c r="H14" s="27"/>
      <c r="I14" s="27"/>
      <c r="J14" s="27"/>
      <c r="K14" s="27"/>
      <c r="L14" s="27"/>
      <c r="M14" s="27"/>
      <c r="N14" s="27"/>
      <c r="O14" s="27"/>
      <c r="P14" s="27">
        <v>0</v>
      </c>
      <c r="Q14" s="25"/>
    </row>
    <row r="15" spans="1:17" ht="15">
      <c r="A15" s="10">
        <v>12</v>
      </c>
      <c r="B15" s="11" t="s">
        <v>32</v>
      </c>
      <c r="C15" s="12">
        <v>220</v>
      </c>
      <c r="D15" s="13" t="s">
        <v>31</v>
      </c>
      <c r="E15" s="15">
        <v>10</v>
      </c>
      <c r="F15" s="15"/>
      <c r="G15" s="27"/>
      <c r="H15" s="27"/>
      <c r="I15" s="27"/>
      <c r="J15" s="27"/>
      <c r="K15" s="27"/>
      <c r="L15" s="27"/>
      <c r="M15" s="27"/>
      <c r="N15" s="27"/>
      <c r="O15" s="27"/>
      <c r="P15" s="27">
        <v>0</v>
      </c>
      <c r="Q15" s="25"/>
    </row>
    <row r="16" spans="1:17" ht="15">
      <c r="A16" s="10">
        <v>13</v>
      </c>
      <c r="B16" s="11" t="s">
        <v>109</v>
      </c>
      <c r="C16" s="12">
        <v>220</v>
      </c>
      <c r="D16" s="13" t="s">
        <v>31</v>
      </c>
      <c r="E16" s="15">
        <v>10</v>
      </c>
      <c r="F16" s="15"/>
      <c r="G16" s="27"/>
      <c r="H16" s="27"/>
      <c r="I16" s="27"/>
      <c r="J16" s="27"/>
      <c r="K16" s="27"/>
      <c r="L16" s="27"/>
      <c r="M16" s="27"/>
      <c r="N16" s="27"/>
      <c r="O16" s="27"/>
      <c r="P16" s="27">
        <v>0</v>
      </c>
      <c r="Q16" s="25"/>
    </row>
    <row r="17" spans="1:17" ht="15">
      <c r="A17" s="10">
        <v>14</v>
      </c>
      <c r="B17" s="11" t="s">
        <v>35</v>
      </c>
      <c r="C17" s="12">
        <v>500</v>
      </c>
      <c r="D17" s="13" t="s">
        <v>36</v>
      </c>
      <c r="E17" s="15">
        <v>8</v>
      </c>
      <c r="F17" s="15"/>
      <c r="G17" s="27"/>
      <c r="H17" s="27"/>
      <c r="I17" s="27"/>
      <c r="J17" s="27"/>
      <c r="K17" s="27"/>
      <c r="L17" s="27"/>
      <c r="M17" s="27"/>
      <c r="N17" s="27"/>
      <c r="O17" s="27"/>
      <c r="P17" s="27">
        <v>0</v>
      </c>
      <c r="Q17" s="23"/>
    </row>
    <row r="18" spans="1:17" ht="15">
      <c r="A18" s="10">
        <v>15</v>
      </c>
      <c r="B18" s="11" t="s">
        <v>37</v>
      </c>
      <c r="C18" s="12">
        <v>400</v>
      </c>
      <c r="D18" s="13" t="s">
        <v>38</v>
      </c>
      <c r="E18" s="15">
        <v>8</v>
      </c>
      <c r="F18" s="15"/>
      <c r="G18" s="27"/>
      <c r="H18" s="27"/>
      <c r="I18" s="27"/>
      <c r="J18" s="27"/>
      <c r="K18" s="27"/>
      <c r="L18" s="27"/>
      <c r="M18" s="27"/>
      <c r="N18" s="27"/>
      <c r="O18" s="27"/>
      <c r="P18" s="27">
        <v>0</v>
      </c>
      <c r="Q18" s="23"/>
    </row>
    <row r="19" spans="1:17" ht="15">
      <c r="A19" s="10">
        <v>16</v>
      </c>
      <c r="B19" s="11" t="s">
        <v>40</v>
      </c>
      <c r="C19" s="12">
        <v>220</v>
      </c>
      <c r="D19" s="13" t="s">
        <v>41</v>
      </c>
      <c r="E19" s="15">
        <v>10</v>
      </c>
      <c r="F19" s="15"/>
      <c r="G19" s="27"/>
      <c r="H19" s="27"/>
      <c r="I19" s="27"/>
      <c r="J19" s="27"/>
      <c r="K19" s="27"/>
      <c r="L19" s="27"/>
      <c r="M19" s="27"/>
      <c r="N19" s="27"/>
      <c r="O19" s="27"/>
      <c r="P19" s="27">
        <v>0</v>
      </c>
      <c r="Q19" s="23"/>
    </row>
    <row r="20" spans="1:17" ht="15">
      <c r="A20" s="10">
        <v>17</v>
      </c>
      <c r="B20" s="11" t="s">
        <v>42</v>
      </c>
      <c r="C20" s="12">
        <v>220</v>
      </c>
      <c r="D20" s="13" t="s">
        <v>41</v>
      </c>
      <c r="E20" s="15">
        <v>10</v>
      </c>
      <c r="F20" s="15"/>
      <c r="G20" s="27"/>
      <c r="H20" s="27"/>
      <c r="I20" s="27"/>
      <c r="J20" s="27"/>
      <c r="K20" s="27"/>
      <c r="L20" s="27"/>
      <c r="M20" s="27"/>
      <c r="N20" s="27"/>
      <c r="O20" s="27"/>
      <c r="P20" s="27">
        <v>0</v>
      </c>
      <c r="Q20" s="23"/>
    </row>
    <row r="21" spans="1:17" ht="15">
      <c r="A21" s="10">
        <v>18</v>
      </c>
      <c r="B21" s="11" t="s">
        <v>43</v>
      </c>
      <c r="C21" s="12">
        <v>220</v>
      </c>
      <c r="D21" s="13" t="s">
        <v>41</v>
      </c>
      <c r="E21" s="15">
        <v>10</v>
      </c>
      <c r="F21" s="15"/>
      <c r="G21" s="27"/>
      <c r="H21" s="27"/>
      <c r="I21" s="27"/>
      <c r="J21" s="27"/>
      <c r="K21" s="27"/>
      <c r="L21" s="27"/>
      <c r="M21" s="27"/>
      <c r="N21" s="27"/>
      <c r="O21" s="27"/>
      <c r="P21" s="27">
        <v>0</v>
      </c>
      <c r="Q21" s="23"/>
    </row>
    <row r="22" spans="1:17" ht="15">
      <c r="A22" s="10">
        <v>19</v>
      </c>
      <c r="B22" s="11" t="s">
        <v>48</v>
      </c>
      <c r="C22" s="12">
        <v>300</v>
      </c>
      <c r="D22" s="13" t="s">
        <v>49</v>
      </c>
      <c r="E22" s="15">
        <v>10</v>
      </c>
      <c r="F22" s="15"/>
      <c r="G22" s="27"/>
      <c r="H22" s="27"/>
      <c r="I22" s="27"/>
      <c r="J22" s="27"/>
      <c r="K22" s="27"/>
      <c r="L22" s="27"/>
      <c r="M22" s="27"/>
      <c r="N22" s="27"/>
      <c r="O22" s="27"/>
      <c r="P22" s="27">
        <v>0</v>
      </c>
      <c r="Q22" s="23"/>
    </row>
    <row r="23" spans="1:17" ht="15">
      <c r="A23" s="10">
        <v>20</v>
      </c>
      <c r="B23" s="11" t="s">
        <v>50</v>
      </c>
      <c r="C23" s="12">
        <v>100</v>
      </c>
      <c r="D23" s="13" t="s">
        <v>49</v>
      </c>
      <c r="E23" s="15">
        <v>10</v>
      </c>
      <c r="F23" s="15"/>
      <c r="G23" s="27"/>
      <c r="H23" s="27"/>
      <c r="I23" s="27"/>
      <c r="J23" s="27"/>
      <c r="K23" s="27"/>
      <c r="L23" s="27"/>
      <c r="M23" s="27"/>
      <c r="N23" s="27"/>
      <c r="O23" s="27"/>
      <c r="P23" s="27">
        <v>0</v>
      </c>
      <c r="Q23" s="23"/>
    </row>
    <row r="24" spans="1:17" ht="15">
      <c r="A24" s="10">
        <v>21</v>
      </c>
      <c r="B24" s="11" t="s">
        <v>51</v>
      </c>
      <c r="C24" s="12">
        <v>250</v>
      </c>
      <c r="D24" s="13" t="s">
        <v>52</v>
      </c>
      <c r="E24" s="15">
        <v>10</v>
      </c>
      <c r="F24" s="15"/>
      <c r="G24" s="27"/>
      <c r="H24" s="27"/>
      <c r="I24" s="27"/>
      <c r="J24" s="27"/>
      <c r="K24" s="27"/>
      <c r="L24" s="27"/>
      <c r="M24" s="27"/>
      <c r="N24" s="27"/>
      <c r="O24" s="27"/>
      <c r="P24" s="27">
        <v>0</v>
      </c>
      <c r="Q24" s="23"/>
    </row>
    <row r="25" spans="1:17" ht="15">
      <c r="A25" s="10">
        <v>22</v>
      </c>
      <c r="B25" s="35" t="s">
        <v>53</v>
      </c>
      <c r="C25" s="12">
        <v>300</v>
      </c>
      <c r="D25" s="13" t="s">
        <v>54</v>
      </c>
      <c r="E25" s="15">
        <v>10</v>
      </c>
      <c r="F25" s="15"/>
      <c r="G25" s="27"/>
      <c r="H25" s="27"/>
      <c r="I25" s="27"/>
      <c r="J25" s="27"/>
      <c r="K25" s="27"/>
      <c r="L25" s="27"/>
      <c r="M25" s="27"/>
      <c r="N25" s="27"/>
      <c r="O25" s="27"/>
      <c r="P25" s="27">
        <v>0</v>
      </c>
      <c r="Q25" s="23"/>
    </row>
    <row r="26" spans="1:17" ht="15">
      <c r="A26" s="10">
        <v>23</v>
      </c>
      <c r="B26" s="35" t="s">
        <v>55</v>
      </c>
      <c r="C26" s="12">
        <v>300</v>
      </c>
      <c r="D26" s="13" t="s">
        <v>54</v>
      </c>
      <c r="E26" s="15">
        <v>10</v>
      </c>
      <c r="F26" s="15"/>
      <c r="G26" s="27"/>
      <c r="H26" s="27"/>
      <c r="I26" s="27"/>
      <c r="J26" s="27"/>
      <c r="K26" s="27"/>
      <c r="L26" s="27"/>
      <c r="M26" s="27"/>
      <c r="N26" s="27"/>
      <c r="O26" s="27"/>
      <c r="P26" s="27">
        <v>0</v>
      </c>
      <c r="Q26" s="23"/>
    </row>
    <row r="27" spans="1:17" ht="15">
      <c r="A27" s="10">
        <v>24</v>
      </c>
      <c r="B27" s="11" t="s">
        <v>166</v>
      </c>
      <c r="C27" s="12">
        <v>375</v>
      </c>
      <c r="D27" s="13" t="s">
        <v>54</v>
      </c>
      <c r="E27" s="15">
        <v>8</v>
      </c>
      <c r="F27" s="15"/>
      <c r="G27" s="27"/>
      <c r="H27" s="27"/>
      <c r="I27" s="27"/>
      <c r="J27" s="27"/>
      <c r="K27" s="27"/>
      <c r="L27" s="27"/>
      <c r="M27" s="27"/>
      <c r="N27" s="27"/>
      <c r="O27" s="27"/>
      <c r="P27" s="27">
        <v>0</v>
      </c>
      <c r="Q27" s="23"/>
    </row>
    <row r="28" spans="1:17" ht="15">
      <c r="A28" s="10">
        <v>25</v>
      </c>
      <c r="B28" s="11" t="s">
        <v>167</v>
      </c>
      <c r="C28" s="12">
        <v>250</v>
      </c>
      <c r="D28" s="13" t="s">
        <v>61</v>
      </c>
      <c r="E28" s="15">
        <v>10</v>
      </c>
      <c r="F28" s="15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3"/>
    </row>
    <row r="29" spans="1:17" ht="15">
      <c r="A29" s="10">
        <v>26</v>
      </c>
      <c r="B29" s="11" t="s">
        <v>60</v>
      </c>
      <c r="C29" s="12">
        <v>350</v>
      </c>
      <c r="D29" s="13" t="s">
        <v>61</v>
      </c>
      <c r="E29" s="15">
        <v>8</v>
      </c>
      <c r="F29" s="15"/>
      <c r="G29" s="27"/>
      <c r="H29" s="27"/>
      <c r="I29" s="27"/>
      <c r="J29" s="27"/>
      <c r="K29" s="27"/>
      <c r="L29" s="27"/>
      <c r="M29" s="27"/>
      <c r="N29" s="27"/>
      <c r="O29" s="27"/>
      <c r="P29" s="27">
        <v>0</v>
      </c>
      <c r="Q29" s="23"/>
    </row>
    <row r="30" spans="1:17" ht="15">
      <c r="A30" s="10">
        <v>27</v>
      </c>
      <c r="B30" s="11" t="s">
        <v>113</v>
      </c>
      <c r="C30" s="12">
        <v>200</v>
      </c>
      <c r="D30" s="13" t="s">
        <v>114</v>
      </c>
      <c r="E30" s="15">
        <v>10</v>
      </c>
      <c r="F30" s="15"/>
      <c r="G30" s="27"/>
      <c r="H30" s="27"/>
      <c r="I30" s="27"/>
      <c r="J30" s="27"/>
      <c r="K30" s="27"/>
      <c r="L30" s="27"/>
      <c r="M30" s="27"/>
      <c r="N30" s="27"/>
      <c r="O30" s="27"/>
      <c r="P30" s="27">
        <v>0</v>
      </c>
      <c r="Q30" s="23"/>
    </row>
    <row r="31" spans="1:17" ht="15">
      <c r="A31" s="10">
        <v>28</v>
      </c>
      <c r="B31" s="11" t="s">
        <v>71</v>
      </c>
      <c r="C31" s="16">
        <v>225</v>
      </c>
      <c r="D31" s="17" t="s">
        <v>72</v>
      </c>
      <c r="E31" s="15">
        <v>10</v>
      </c>
      <c r="F31" s="15"/>
      <c r="G31" s="27"/>
      <c r="H31" s="27"/>
      <c r="I31" s="27"/>
      <c r="J31" s="27"/>
      <c r="K31" s="27"/>
      <c r="L31" s="27"/>
      <c r="M31" s="27"/>
      <c r="N31" s="27"/>
      <c r="O31" s="27"/>
      <c r="P31" s="27">
        <v>0</v>
      </c>
      <c r="Q31" s="23"/>
    </row>
    <row r="32" spans="1:17" ht="15">
      <c r="A32" s="10">
        <v>29</v>
      </c>
      <c r="B32" s="18" t="s">
        <v>75</v>
      </c>
      <c r="C32" s="12">
        <v>450</v>
      </c>
      <c r="D32" s="13" t="s">
        <v>76</v>
      </c>
      <c r="E32" s="15">
        <v>8</v>
      </c>
      <c r="F32" s="15"/>
      <c r="G32" s="27"/>
      <c r="H32" s="27"/>
      <c r="I32" s="27"/>
      <c r="J32" s="27"/>
      <c r="K32" s="27"/>
      <c r="L32" s="27"/>
      <c r="M32" s="27"/>
      <c r="N32" s="27"/>
      <c r="O32" s="27"/>
      <c r="P32" s="27">
        <v>0</v>
      </c>
      <c r="Q32" s="23"/>
    </row>
    <row r="33" spans="1:17" ht="15">
      <c r="A33" s="10">
        <v>30</v>
      </c>
      <c r="B33" s="11" t="s">
        <v>87</v>
      </c>
      <c r="C33" s="16">
        <v>200</v>
      </c>
      <c r="D33" s="17" t="s">
        <v>88</v>
      </c>
      <c r="E33" s="15">
        <v>10</v>
      </c>
      <c r="F33" s="15"/>
      <c r="G33" s="27"/>
      <c r="H33" s="27"/>
      <c r="I33" s="27"/>
      <c r="J33" s="27"/>
      <c r="K33" s="27"/>
      <c r="L33" s="27"/>
      <c r="M33" s="27"/>
      <c r="N33" s="27"/>
      <c r="O33" s="27"/>
      <c r="P33" s="27">
        <v>0</v>
      </c>
      <c r="Q33" s="23"/>
    </row>
    <row r="34" spans="1:17" ht="15">
      <c r="A34" s="10">
        <v>31</v>
      </c>
      <c r="B34" s="11" t="s">
        <v>120</v>
      </c>
      <c r="C34" s="16">
        <v>250</v>
      </c>
      <c r="D34" s="17" t="s">
        <v>119</v>
      </c>
      <c r="E34" s="15">
        <v>8</v>
      </c>
      <c r="F34" s="15"/>
      <c r="G34" s="27"/>
      <c r="H34" s="27"/>
      <c r="I34" s="27"/>
      <c r="J34" s="27"/>
      <c r="K34" s="27"/>
      <c r="L34" s="27"/>
      <c r="M34" s="27"/>
      <c r="N34" s="27"/>
      <c r="O34" s="27"/>
      <c r="P34" s="27">
        <v>0</v>
      </c>
      <c r="Q34" s="25"/>
    </row>
    <row r="35" spans="1:17" ht="15">
      <c r="A35" s="10">
        <v>32</v>
      </c>
      <c r="B35" s="11" t="s">
        <v>121</v>
      </c>
      <c r="C35" s="16">
        <v>350</v>
      </c>
      <c r="D35" s="17" t="s">
        <v>122</v>
      </c>
      <c r="E35" s="15">
        <v>8</v>
      </c>
      <c r="F35" s="15"/>
      <c r="G35" s="27"/>
      <c r="H35" s="27"/>
      <c r="I35" s="27"/>
      <c r="J35" s="27"/>
      <c r="K35" s="27"/>
      <c r="L35" s="27"/>
      <c r="M35" s="27"/>
      <c r="N35" s="27"/>
      <c r="O35" s="27"/>
      <c r="P35" s="27">
        <v>0</v>
      </c>
      <c r="Q35" s="25"/>
    </row>
    <row r="36" spans="1:17" ht="15">
      <c r="A36" s="10">
        <v>33</v>
      </c>
      <c r="B36" s="11" t="s">
        <v>123</v>
      </c>
      <c r="C36" s="16">
        <v>350</v>
      </c>
      <c r="D36" s="17" t="s">
        <v>122</v>
      </c>
      <c r="E36" s="15">
        <v>8</v>
      </c>
      <c r="F36" s="15"/>
      <c r="G36" s="27"/>
      <c r="H36" s="27"/>
      <c r="I36" s="27"/>
      <c r="J36" s="27"/>
      <c r="K36" s="27"/>
      <c r="L36" s="27"/>
      <c r="M36" s="27"/>
      <c r="N36" s="27"/>
      <c r="O36" s="27"/>
      <c r="P36" s="27">
        <v>0</v>
      </c>
      <c r="Q36" s="25"/>
    </row>
    <row r="37" spans="1:17" ht="15">
      <c r="A37" s="10">
        <v>34</v>
      </c>
      <c r="B37" s="11" t="s">
        <v>68</v>
      </c>
      <c r="C37" s="16">
        <v>150</v>
      </c>
      <c r="D37" s="38" t="s">
        <v>67</v>
      </c>
      <c r="E37" s="15">
        <v>10</v>
      </c>
      <c r="F37" s="15"/>
      <c r="G37" s="27"/>
      <c r="H37" s="27"/>
      <c r="I37" s="27"/>
      <c r="J37" s="27"/>
      <c r="K37" s="27"/>
      <c r="L37" s="27"/>
      <c r="M37" s="27"/>
      <c r="N37" s="27"/>
      <c r="O37" s="27"/>
      <c r="P37" s="27">
        <v>0</v>
      </c>
      <c r="Q37" s="25"/>
    </row>
    <row r="38" spans="1:17" ht="15">
      <c r="A38" s="10">
        <v>35</v>
      </c>
      <c r="B38" s="11" t="s">
        <v>126</v>
      </c>
      <c r="C38" s="16">
        <v>300</v>
      </c>
      <c r="D38" s="38" t="s">
        <v>67</v>
      </c>
      <c r="E38" s="15">
        <v>10</v>
      </c>
      <c r="F38" s="15"/>
      <c r="G38" s="27"/>
      <c r="H38" s="27"/>
      <c r="I38" s="27"/>
      <c r="J38" s="27"/>
      <c r="K38" s="27"/>
      <c r="L38" s="27"/>
      <c r="M38" s="27"/>
      <c r="N38" s="27"/>
      <c r="O38" s="27"/>
      <c r="P38" s="27">
        <v>0</v>
      </c>
      <c r="Q38" s="25"/>
    </row>
    <row r="39" spans="1:17" ht="15">
      <c r="A39" s="10">
        <v>36</v>
      </c>
      <c r="B39" s="11" t="s">
        <v>145</v>
      </c>
      <c r="C39" s="16">
        <v>350</v>
      </c>
      <c r="D39" s="17" t="s">
        <v>144</v>
      </c>
      <c r="E39" s="15">
        <v>8</v>
      </c>
      <c r="F39" s="15"/>
      <c r="G39" s="27"/>
      <c r="H39" s="27"/>
      <c r="I39" s="27"/>
      <c r="J39" s="27"/>
      <c r="K39" s="27"/>
      <c r="L39" s="27"/>
      <c r="M39" s="27"/>
      <c r="N39" s="27"/>
      <c r="O39" s="27"/>
      <c r="P39" s="27">
        <v>0</v>
      </c>
      <c r="Q39" s="25"/>
    </row>
    <row r="40" spans="1:17" ht="15">
      <c r="A40" s="10">
        <v>37</v>
      </c>
      <c r="B40" s="41" t="s">
        <v>154</v>
      </c>
      <c r="C40" s="12">
        <v>260</v>
      </c>
      <c r="D40" s="38" t="s">
        <v>155</v>
      </c>
      <c r="E40" s="15">
        <v>10</v>
      </c>
      <c r="F40" s="42"/>
      <c r="G40" s="28"/>
      <c r="H40" s="27"/>
      <c r="I40" s="27"/>
      <c r="J40" s="27"/>
      <c r="K40" s="27"/>
      <c r="L40" s="27"/>
      <c r="M40" s="27"/>
      <c r="N40" s="27"/>
      <c r="O40" s="27"/>
      <c r="P40" s="27">
        <v>0</v>
      </c>
      <c r="Q40" s="25"/>
    </row>
    <row r="41" spans="1:17" ht="15">
      <c r="A41" s="10">
        <v>38</v>
      </c>
      <c r="B41" s="41" t="s">
        <v>156</v>
      </c>
      <c r="C41" s="12">
        <v>549</v>
      </c>
      <c r="D41" s="44" t="s">
        <v>157</v>
      </c>
      <c r="E41" s="15">
        <v>8</v>
      </c>
      <c r="F41" s="42"/>
      <c r="G41" s="28"/>
      <c r="H41" s="27"/>
      <c r="I41" s="27"/>
      <c r="J41" s="27"/>
      <c r="K41" s="27"/>
      <c r="L41" s="27"/>
      <c r="M41" s="27"/>
      <c r="N41" s="27"/>
      <c r="O41" s="27"/>
      <c r="P41" s="27">
        <v>0</v>
      </c>
      <c r="Q41" s="25"/>
    </row>
    <row r="42" spans="1:17" ht="15">
      <c r="A42" s="10">
        <v>39</v>
      </c>
      <c r="B42" s="41" t="s">
        <v>168</v>
      </c>
      <c r="C42" s="12">
        <v>249</v>
      </c>
      <c r="D42" s="44" t="s">
        <v>169</v>
      </c>
      <c r="E42" s="15">
        <v>10</v>
      </c>
      <c r="F42" s="42"/>
      <c r="G42" s="28"/>
      <c r="H42" s="27"/>
      <c r="I42" s="27"/>
      <c r="J42" s="27"/>
      <c r="K42" s="27"/>
      <c r="L42" s="27"/>
      <c r="M42" s="27"/>
      <c r="N42" s="27"/>
      <c r="O42" s="27"/>
      <c r="P42" s="27">
        <v>0</v>
      </c>
      <c r="Q42" s="25"/>
    </row>
    <row r="43" spans="1:17" ht="15">
      <c r="A43" s="10">
        <v>40</v>
      </c>
      <c r="B43" s="41" t="s">
        <v>170</v>
      </c>
      <c r="C43" s="12">
        <v>150</v>
      </c>
      <c r="D43" s="44" t="s">
        <v>171</v>
      </c>
      <c r="E43" s="15">
        <v>10</v>
      </c>
      <c r="F43" s="42"/>
      <c r="G43" s="28"/>
      <c r="H43" s="27"/>
      <c r="I43" s="27"/>
      <c r="J43" s="27"/>
      <c r="K43" s="27"/>
      <c r="L43" s="27"/>
      <c r="M43" s="27"/>
      <c r="N43" s="27"/>
      <c r="O43" s="27"/>
      <c r="P43" s="27">
        <v>0</v>
      </c>
      <c r="Q43" s="25"/>
    </row>
    <row r="44" spans="1:17" ht="15">
      <c r="A44" s="10">
        <v>41</v>
      </c>
      <c r="B44" s="41" t="s">
        <v>172</v>
      </c>
      <c r="C44" s="12">
        <v>150</v>
      </c>
      <c r="D44" s="44" t="s">
        <v>171</v>
      </c>
      <c r="E44" s="15">
        <v>10</v>
      </c>
      <c r="F44" s="42"/>
      <c r="G44" s="28"/>
      <c r="H44" s="27"/>
      <c r="I44" s="27"/>
      <c r="J44" s="27"/>
      <c r="K44" s="27"/>
      <c r="L44" s="27"/>
      <c r="M44" s="27"/>
      <c r="N44" s="27"/>
      <c r="O44" s="27"/>
      <c r="P44" s="27">
        <v>0</v>
      </c>
      <c r="Q44" s="25"/>
    </row>
    <row r="45" spans="1:17" ht="15">
      <c r="A45" s="10">
        <v>42</v>
      </c>
      <c r="B45" s="41" t="s">
        <v>173</v>
      </c>
      <c r="C45" s="12">
        <v>150</v>
      </c>
      <c r="D45" s="44" t="s">
        <v>171</v>
      </c>
      <c r="E45" s="15">
        <v>10</v>
      </c>
      <c r="F45" s="42"/>
      <c r="G45" s="28"/>
      <c r="H45" s="27"/>
      <c r="I45" s="27"/>
      <c r="J45" s="27"/>
      <c r="K45" s="27"/>
      <c r="L45" s="27"/>
      <c r="M45" s="27"/>
      <c r="N45" s="27"/>
      <c r="O45" s="27"/>
      <c r="P45" s="27">
        <v>0</v>
      </c>
      <c r="Q45" s="25"/>
    </row>
    <row r="46" spans="1:17" ht="15">
      <c r="A46" s="10">
        <v>43</v>
      </c>
      <c r="B46" s="41" t="s">
        <v>174</v>
      </c>
      <c r="C46" s="12">
        <v>200</v>
      </c>
      <c r="D46" s="44" t="s">
        <v>175</v>
      </c>
      <c r="E46" s="15">
        <v>10</v>
      </c>
      <c r="F46" s="42"/>
      <c r="G46" s="28"/>
      <c r="H46" s="27"/>
      <c r="I46" s="27"/>
      <c r="J46" s="27"/>
      <c r="K46" s="27"/>
      <c r="L46" s="27"/>
      <c r="M46" s="27"/>
      <c r="N46" s="27"/>
      <c r="O46" s="27"/>
      <c r="P46" s="27">
        <v>0</v>
      </c>
      <c r="Q46" s="25"/>
    </row>
    <row r="47" spans="1:17" ht="15">
      <c r="A47" s="10">
        <v>44</v>
      </c>
      <c r="B47" s="41" t="s">
        <v>176</v>
      </c>
      <c r="C47" s="12">
        <v>200</v>
      </c>
      <c r="D47" s="44" t="s">
        <v>175</v>
      </c>
      <c r="E47" s="15">
        <v>10</v>
      </c>
      <c r="F47" s="42"/>
      <c r="G47" s="28"/>
      <c r="H47" s="27"/>
      <c r="I47" s="27"/>
      <c r="J47" s="27"/>
      <c r="K47" s="27"/>
      <c r="L47" s="27"/>
      <c r="M47" s="27"/>
      <c r="N47" s="27"/>
      <c r="O47" s="27"/>
      <c r="P47" s="27">
        <v>0</v>
      </c>
      <c r="Q47" s="25"/>
    </row>
    <row r="48" spans="1:17" ht="15">
      <c r="A48" s="10">
        <v>45</v>
      </c>
      <c r="B48" s="41" t="s">
        <v>177</v>
      </c>
      <c r="C48" s="12">
        <v>300</v>
      </c>
      <c r="D48" s="44" t="s">
        <v>178</v>
      </c>
      <c r="E48" s="15">
        <v>10</v>
      </c>
      <c r="F48" s="42"/>
      <c r="G48" s="28"/>
      <c r="H48" s="27"/>
      <c r="I48" s="27"/>
      <c r="J48" s="27"/>
      <c r="K48" s="27"/>
      <c r="L48" s="27"/>
      <c r="M48" s="27"/>
      <c r="N48" s="27"/>
      <c r="O48" s="27"/>
      <c r="P48" s="27">
        <v>0</v>
      </c>
      <c r="Q48" s="25"/>
    </row>
    <row r="49" spans="1:17" ht="15">
      <c r="A49" s="10">
        <v>46</v>
      </c>
      <c r="B49" s="41" t="s">
        <v>179</v>
      </c>
      <c r="C49" s="12">
        <v>350</v>
      </c>
      <c r="D49" s="44" t="s">
        <v>178</v>
      </c>
      <c r="E49" s="15">
        <v>8</v>
      </c>
      <c r="F49" s="42"/>
      <c r="G49" s="28"/>
      <c r="H49" s="27"/>
      <c r="I49" s="27"/>
      <c r="J49" s="27"/>
      <c r="K49" s="27"/>
      <c r="L49" s="27"/>
      <c r="M49" s="27"/>
      <c r="N49" s="27"/>
      <c r="O49" s="27"/>
      <c r="P49" s="27">
        <v>0</v>
      </c>
      <c r="Q49" s="25"/>
    </row>
    <row r="50" spans="1:17" ht="15">
      <c r="A50" s="10">
        <v>47</v>
      </c>
      <c r="B50" s="41" t="s">
        <v>180</v>
      </c>
      <c r="C50" s="12">
        <v>399</v>
      </c>
      <c r="D50" s="44" t="s">
        <v>181</v>
      </c>
      <c r="E50" s="15">
        <v>8</v>
      </c>
      <c r="F50" s="42"/>
      <c r="G50" s="28"/>
      <c r="H50" s="27"/>
      <c r="I50" s="27"/>
      <c r="J50" s="27"/>
      <c r="K50" s="27"/>
      <c r="L50" s="27"/>
      <c r="M50" s="27"/>
      <c r="N50" s="27"/>
      <c r="O50" s="27"/>
      <c r="P50" s="27">
        <v>0</v>
      </c>
      <c r="Q50" s="25"/>
    </row>
    <row r="51" spans="1:17" ht="15">
      <c r="A51" s="10">
        <v>48</v>
      </c>
      <c r="B51" s="41" t="s">
        <v>182</v>
      </c>
      <c r="C51" s="12">
        <v>245</v>
      </c>
      <c r="D51" s="44" t="s">
        <v>183</v>
      </c>
      <c r="E51" s="15">
        <v>10</v>
      </c>
      <c r="F51" s="42"/>
      <c r="G51" s="28"/>
      <c r="H51" s="27"/>
      <c r="I51" s="27"/>
      <c r="J51" s="27"/>
      <c r="K51" s="27"/>
      <c r="L51" s="27"/>
      <c r="M51" s="27"/>
      <c r="N51" s="27"/>
      <c r="O51" s="27"/>
      <c r="P51" s="27">
        <v>0</v>
      </c>
      <c r="Q51" s="25"/>
    </row>
    <row r="52" spans="1:17" ht="15">
      <c r="A52" s="10">
        <v>49</v>
      </c>
      <c r="B52" s="41" t="s">
        <v>184</v>
      </c>
      <c r="C52" s="12">
        <v>421</v>
      </c>
      <c r="D52" s="44" t="s">
        <v>185</v>
      </c>
      <c r="E52" s="15">
        <v>8</v>
      </c>
      <c r="F52" s="42"/>
      <c r="G52" s="28"/>
      <c r="H52" s="27"/>
      <c r="I52" s="27"/>
      <c r="J52" s="27"/>
      <c r="K52" s="27"/>
      <c r="L52" s="27"/>
      <c r="M52" s="27"/>
      <c r="N52" s="27"/>
      <c r="O52" s="27"/>
      <c r="P52" s="27">
        <v>0</v>
      </c>
      <c r="Q52" s="25"/>
    </row>
    <row r="53" spans="1:17" ht="15">
      <c r="A53" s="10">
        <v>50</v>
      </c>
      <c r="B53" s="41" t="s">
        <v>186</v>
      </c>
      <c r="C53" s="12">
        <v>650</v>
      </c>
      <c r="D53" s="44" t="s">
        <v>84</v>
      </c>
      <c r="E53" s="15">
        <v>6</v>
      </c>
      <c r="F53" s="42"/>
      <c r="G53" s="28"/>
      <c r="H53" s="27"/>
      <c r="I53" s="27"/>
      <c r="J53" s="27"/>
      <c r="K53" s="27"/>
      <c r="L53" s="27"/>
      <c r="M53" s="27"/>
      <c r="N53" s="27"/>
      <c r="O53" s="27"/>
      <c r="P53" s="27">
        <v>0</v>
      </c>
      <c r="Q53" s="25"/>
    </row>
    <row r="54" spans="1:17" ht="15">
      <c r="A54" s="10">
        <v>51</v>
      </c>
      <c r="B54" s="41" t="s">
        <v>187</v>
      </c>
      <c r="C54" s="12">
        <v>300</v>
      </c>
      <c r="D54" s="44" t="s">
        <v>84</v>
      </c>
      <c r="E54" s="15">
        <v>10</v>
      </c>
      <c r="F54" s="42"/>
      <c r="G54" s="28"/>
      <c r="H54" s="27"/>
      <c r="I54" s="27"/>
      <c r="J54" s="27"/>
      <c r="K54" s="27"/>
      <c r="L54" s="27"/>
      <c r="M54" s="27"/>
      <c r="N54" s="27"/>
      <c r="O54" s="27"/>
      <c r="P54" s="27">
        <v>0</v>
      </c>
      <c r="Q54" s="25"/>
    </row>
    <row r="55" spans="1:17" ht="15">
      <c r="A55" s="10">
        <v>52</v>
      </c>
      <c r="B55" s="53" t="s">
        <v>188</v>
      </c>
      <c r="C55" s="12">
        <v>225</v>
      </c>
      <c r="D55" s="54" t="s">
        <v>84</v>
      </c>
      <c r="E55" s="40">
        <v>8</v>
      </c>
      <c r="F55" s="42"/>
      <c r="G55" s="28"/>
      <c r="H55" s="27"/>
      <c r="I55" s="27"/>
      <c r="J55" s="27"/>
      <c r="K55" s="27"/>
      <c r="L55" s="27"/>
      <c r="M55" s="27"/>
      <c r="N55" s="27"/>
      <c r="O55" s="27"/>
      <c r="P55" s="27">
        <v>0</v>
      </c>
      <c r="Q55" s="25"/>
    </row>
    <row r="56" spans="1:17" ht="15">
      <c r="A56" s="10">
        <v>53</v>
      </c>
      <c r="B56" s="53" t="s">
        <v>189</v>
      </c>
      <c r="C56" s="55">
        <v>350</v>
      </c>
      <c r="D56" s="33" t="s">
        <v>190</v>
      </c>
      <c r="E56" s="40">
        <v>8</v>
      </c>
      <c r="F56" s="45"/>
      <c r="G56" s="51"/>
      <c r="H56" s="27"/>
      <c r="I56" s="27"/>
      <c r="J56" s="27"/>
      <c r="K56" s="27"/>
      <c r="L56" s="27"/>
      <c r="M56" s="27"/>
      <c r="N56" s="27"/>
      <c r="O56" s="27"/>
      <c r="P56" s="27">
        <v>0</v>
      </c>
      <c r="Q56" s="25"/>
    </row>
    <row r="57" spans="1:17" ht="15">
      <c r="A57" s="10">
        <v>54</v>
      </c>
      <c r="B57" s="11" t="s">
        <v>28</v>
      </c>
      <c r="C57" s="12">
        <v>250</v>
      </c>
      <c r="D57" s="33" t="s">
        <v>190</v>
      </c>
      <c r="E57" s="15">
        <v>8</v>
      </c>
      <c r="F57" s="42"/>
      <c r="G57" s="27"/>
      <c r="H57" s="27"/>
      <c r="I57" s="27"/>
      <c r="J57" s="27"/>
      <c r="K57" s="27"/>
      <c r="L57" s="27"/>
      <c r="M57" s="27"/>
      <c r="N57" s="27"/>
      <c r="O57" s="27"/>
      <c r="P57" s="27">
        <v>0</v>
      </c>
      <c r="Q57" s="25"/>
    </row>
    <row r="58" spans="1:17" ht="21.6" thickBot="1">
      <c r="A58" s="10"/>
      <c r="B58" s="56"/>
      <c r="C58" s="47"/>
      <c r="D58" s="48"/>
      <c r="E58" s="57">
        <v>490</v>
      </c>
      <c r="F58" s="58">
        <v>36</v>
      </c>
      <c r="G58" s="52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1">
        <v>0</v>
      </c>
      <c r="Q58" s="25"/>
    </row>
    <row r="59" spans="1:17">
      <c r="A59" s="23"/>
      <c r="B59" s="23"/>
      <c r="C59" s="24"/>
      <c r="D59" s="23"/>
      <c r="E59" s="23"/>
      <c r="F59" s="23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3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opLeftCell="B9" workbookViewId="0">
      <selection activeCell="B2" sqref="B2:B3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94" t="s">
        <v>197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25"/>
    </row>
    <row r="2" spans="1:18" ht="17.399999999999999">
      <c r="A2" s="109" t="s">
        <v>1</v>
      </c>
      <c r="B2" s="96" t="s">
        <v>2</v>
      </c>
      <c r="C2" s="112" t="s">
        <v>161</v>
      </c>
      <c r="D2" s="96" t="s">
        <v>3</v>
      </c>
      <c r="E2" s="96" t="s">
        <v>4</v>
      </c>
      <c r="F2" s="112" t="s">
        <v>162</v>
      </c>
      <c r="G2" s="103" t="s">
        <v>196</v>
      </c>
      <c r="H2" s="104" t="s">
        <v>94</v>
      </c>
      <c r="I2" s="105"/>
      <c r="J2" s="105"/>
      <c r="K2" s="105"/>
      <c r="L2" s="105"/>
      <c r="M2" s="105"/>
      <c r="N2" s="105"/>
      <c r="O2" s="105"/>
      <c r="P2" s="106"/>
      <c r="Q2" s="110" t="s">
        <v>164</v>
      </c>
      <c r="R2" s="25"/>
    </row>
    <row r="3" spans="1:18" ht="53.4" customHeight="1">
      <c r="A3" s="108"/>
      <c r="B3" s="98"/>
      <c r="C3" s="98"/>
      <c r="D3" s="98"/>
      <c r="E3" s="98"/>
      <c r="F3" s="98"/>
      <c r="G3" s="98"/>
      <c r="H3" s="26" t="s">
        <v>95</v>
      </c>
      <c r="I3" s="26" t="s">
        <v>96</v>
      </c>
      <c r="J3" s="26" t="s">
        <v>97</v>
      </c>
      <c r="K3" s="26" t="s">
        <v>98</v>
      </c>
      <c r="L3" s="26" t="s">
        <v>99</v>
      </c>
      <c r="M3" s="26" t="s">
        <v>100</v>
      </c>
      <c r="N3" s="26" t="s">
        <v>101</v>
      </c>
      <c r="O3" s="26" t="s">
        <v>102</v>
      </c>
      <c r="P3" s="26" t="s">
        <v>103</v>
      </c>
      <c r="Q3" s="111"/>
      <c r="R3" s="25"/>
    </row>
    <row r="4" spans="1:18" ht="15">
      <c r="A4" s="10">
        <v>1</v>
      </c>
      <c r="B4" s="11" t="s">
        <v>14</v>
      </c>
      <c r="C4" s="32" t="s">
        <v>16</v>
      </c>
      <c r="D4" s="12">
        <v>300</v>
      </c>
      <c r="E4" s="13" t="s">
        <v>15</v>
      </c>
      <c r="F4" s="15">
        <v>5</v>
      </c>
      <c r="G4" s="15"/>
      <c r="H4" s="27"/>
      <c r="I4" s="27"/>
      <c r="J4" s="27"/>
      <c r="K4" s="27"/>
      <c r="L4" s="27"/>
      <c r="M4" s="27"/>
      <c r="N4" s="27"/>
      <c r="O4" s="27"/>
      <c r="P4" s="27"/>
      <c r="Q4" s="27">
        <f t="shared" ref="Q4:Q27" si="0">SUM(H4:P4)</f>
        <v>0</v>
      </c>
      <c r="R4" s="25"/>
    </row>
    <row r="5" spans="1:18" ht="15">
      <c r="A5" s="10">
        <v>2</v>
      </c>
      <c r="B5" s="11" t="s">
        <v>17</v>
      </c>
      <c r="C5" s="32" t="s">
        <v>16</v>
      </c>
      <c r="D5" s="12">
        <v>600</v>
      </c>
      <c r="E5" s="13" t="s">
        <v>15</v>
      </c>
      <c r="F5" s="15">
        <v>5</v>
      </c>
      <c r="G5" s="15"/>
      <c r="H5" s="27"/>
      <c r="I5" s="27"/>
      <c r="J5" s="27"/>
      <c r="K5" s="27"/>
      <c r="L5" s="27"/>
      <c r="M5" s="27"/>
      <c r="N5" s="27"/>
      <c r="O5" s="27"/>
      <c r="P5" s="27"/>
      <c r="Q5" s="27">
        <f t="shared" si="0"/>
        <v>0</v>
      </c>
      <c r="R5" s="25"/>
    </row>
    <row r="6" spans="1:18" ht="15">
      <c r="A6" s="10">
        <v>3</v>
      </c>
      <c r="B6" s="11" t="s">
        <v>18</v>
      </c>
      <c r="C6" s="32" t="s">
        <v>16</v>
      </c>
      <c r="D6" s="12">
        <v>350</v>
      </c>
      <c r="E6" s="13" t="s">
        <v>15</v>
      </c>
      <c r="F6" s="15">
        <v>5</v>
      </c>
      <c r="G6" s="15"/>
      <c r="H6" s="27"/>
      <c r="I6" s="27"/>
      <c r="J6" s="27"/>
      <c r="K6" s="27"/>
      <c r="L6" s="27"/>
      <c r="M6" s="27"/>
      <c r="N6" s="27"/>
      <c r="O6" s="27"/>
      <c r="P6" s="27"/>
      <c r="Q6" s="27">
        <f t="shared" si="0"/>
        <v>0</v>
      </c>
      <c r="R6" s="25"/>
    </row>
    <row r="7" spans="1:18" ht="15">
      <c r="A7" s="10">
        <v>4</v>
      </c>
      <c r="B7" s="11" t="s">
        <v>19</v>
      </c>
      <c r="C7" s="32" t="s">
        <v>16</v>
      </c>
      <c r="D7" s="12">
        <v>480</v>
      </c>
      <c r="E7" s="13" t="s">
        <v>15</v>
      </c>
      <c r="F7" s="15">
        <v>5</v>
      </c>
      <c r="G7" s="15"/>
      <c r="H7" s="27"/>
      <c r="I7" s="27"/>
      <c r="J7" s="27"/>
      <c r="K7" s="27"/>
      <c r="L7" s="27"/>
      <c r="M7" s="27"/>
      <c r="N7" s="27"/>
      <c r="O7" s="27"/>
      <c r="P7" s="27"/>
      <c r="Q7" s="27">
        <f t="shared" si="0"/>
        <v>0</v>
      </c>
      <c r="R7" s="25"/>
    </row>
    <row r="8" spans="1:18" ht="15">
      <c r="A8" s="10">
        <v>5</v>
      </c>
      <c r="B8" s="11" t="s">
        <v>105</v>
      </c>
      <c r="C8" s="12"/>
      <c r="D8" s="12">
        <v>250</v>
      </c>
      <c r="E8" s="13" t="s">
        <v>21</v>
      </c>
      <c r="F8" s="15"/>
      <c r="G8" s="15"/>
      <c r="H8" s="27"/>
      <c r="I8" s="27"/>
      <c r="J8" s="27"/>
      <c r="K8" s="27"/>
      <c r="L8" s="27"/>
      <c r="M8" s="27"/>
      <c r="N8" s="27"/>
      <c r="O8" s="27"/>
      <c r="P8" s="27"/>
      <c r="Q8" s="27">
        <f t="shared" si="0"/>
        <v>0</v>
      </c>
      <c r="R8" s="25"/>
    </row>
    <row r="9" spans="1:18" ht="15">
      <c r="A9" s="10">
        <v>6</v>
      </c>
      <c r="B9" s="11" t="s">
        <v>22</v>
      </c>
      <c r="C9" s="12"/>
      <c r="D9" s="12">
        <v>350</v>
      </c>
      <c r="E9" s="13" t="s">
        <v>21</v>
      </c>
      <c r="F9" s="15"/>
      <c r="G9" s="15"/>
      <c r="H9" s="27"/>
      <c r="I9" s="27"/>
      <c r="J9" s="27"/>
      <c r="K9" s="27"/>
      <c r="L9" s="27"/>
      <c r="M9" s="27"/>
      <c r="N9" s="27"/>
      <c r="O9" s="27"/>
      <c r="P9" s="27"/>
      <c r="Q9" s="27">
        <f t="shared" si="0"/>
        <v>0</v>
      </c>
      <c r="R9" s="25"/>
    </row>
    <row r="10" spans="1:18" ht="15">
      <c r="A10" s="10">
        <v>7</v>
      </c>
      <c r="B10" s="11" t="s">
        <v>23</v>
      </c>
      <c r="C10" s="12"/>
      <c r="D10" s="12">
        <v>300</v>
      </c>
      <c r="E10" s="33" t="s">
        <v>24</v>
      </c>
      <c r="F10" s="15">
        <v>5</v>
      </c>
      <c r="G10" s="15"/>
      <c r="H10" s="27"/>
      <c r="I10" s="27"/>
      <c r="J10" s="27"/>
      <c r="K10" s="27"/>
      <c r="L10" s="27"/>
      <c r="M10" s="27"/>
      <c r="N10" s="27"/>
      <c r="O10" s="27"/>
      <c r="P10" s="27"/>
      <c r="Q10" s="27">
        <f t="shared" si="0"/>
        <v>0</v>
      </c>
      <c r="R10" s="25"/>
    </row>
    <row r="11" spans="1:18" ht="15">
      <c r="A11" s="10">
        <v>8</v>
      </c>
      <c r="B11" s="11" t="s">
        <v>106</v>
      </c>
      <c r="C11" s="12"/>
      <c r="D11" s="12">
        <v>350</v>
      </c>
      <c r="E11" s="33" t="s">
        <v>24</v>
      </c>
      <c r="F11" s="15">
        <v>5</v>
      </c>
      <c r="G11" s="15"/>
      <c r="H11" s="27"/>
      <c r="I11" s="27"/>
      <c r="J11" s="27"/>
      <c r="K11" s="27"/>
      <c r="L11" s="27"/>
      <c r="M11" s="27"/>
      <c r="N11" s="27"/>
      <c r="O11" s="27"/>
      <c r="P11" s="27"/>
      <c r="Q11" s="27">
        <f t="shared" si="0"/>
        <v>0</v>
      </c>
      <c r="R11" s="25"/>
    </row>
    <row r="12" spans="1:18" ht="15">
      <c r="A12" s="10">
        <v>9</v>
      </c>
      <c r="B12" s="11" t="s">
        <v>107</v>
      </c>
      <c r="C12" s="12"/>
      <c r="D12" s="12">
        <v>350</v>
      </c>
      <c r="E12" s="33" t="s">
        <v>24</v>
      </c>
      <c r="F12" s="15">
        <v>5</v>
      </c>
      <c r="G12" s="15"/>
      <c r="H12" s="27"/>
      <c r="I12" s="27"/>
      <c r="J12" s="27"/>
      <c r="K12" s="27"/>
      <c r="L12" s="27"/>
      <c r="M12" s="27"/>
      <c r="N12" s="27"/>
      <c r="O12" s="27"/>
      <c r="P12" s="27"/>
      <c r="Q12" s="27">
        <f t="shared" si="0"/>
        <v>0</v>
      </c>
      <c r="R12" s="25"/>
    </row>
    <row r="13" spans="1:18" ht="15">
      <c r="A13" s="10">
        <v>10</v>
      </c>
      <c r="B13" s="11" t="s">
        <v>29</v>
      </c>
      <c r="C13" s="12"/>
      <c r="D13" s="12">
        <v>500</v>
      </c>
      <c r="E13" s="33" t="s">
        <v>24</v>
      </c>
      <c r="F13" s="15">
        <v>5</v>
      </c>
      <c r="G13" s="15"/>
      <c r="H13" s="27"/>
      <c r="I13" s="27"/>
      <c r="J13" s="27"/>
      <c r="K13" s="27"/>
      <c r="L13" s="27"/>
      <c r="M13" s="27"/>
      <c r="N13" s="27"/>
      <c r="O13" s="27"/>
      <c r="P13" s="27"/>
      <c r="Q13" s="27">
        <f t="shared" si="0"/>
        <v>0</v>
      </c>
      <c r="R13" s="25"/>
    </row>
    <row r="14" spans="1:18" ht="15">
      <c r="A14" s="10">
        <v>11</v>
      </c>
      <c r="B14" s="11" t="s">
        <v>30</v>
      </c>
      <c r="C14" s="12"/>
      <c r="D14" s="12">
        <v>220</v>
      </c>
      <c r="E14" s="13" t="s">
        <v>31</v>
      </c>
      <c r="F14" s="15">
        <v>5</v>
      </c>
      <c r="G14" s="15"/>
      <c r="H14" s="27"/>
      <c r="I14" s="27"/>
      <c r="J14" s="27"/>
      <c r="K14" s="27"/>
      <c r="L14" s="27"/>
      <c r="M14" s="27"/>
      <c r="N14" s="27"/>
      <c r="O14" s="27"/>
      <c r="P14" s="27"/>
      <c r="Q14" s="27">
        <f t="shared" si="0"/>
        <v>0</v>
      </c>
      <c r="R14" s="25"/>
    </row>
    <row r="15" spans="1:18" ht="15">
      <c r="A15" s="10">
        <v>12</v>
      </c>
      <c r="B15" s="11" t="s">
        <v>32</v>
      </c>
      <c r="C15" s="12"/>
      <c r="D15" s="12">
        <v>220</v>
      </c>
      <c r="E15" s="13" t="s">
        <v>31</v>
      </c>
      <c r="F15" s="15">
        <v>5</v>
      </c>
      <c r="G15" s="15"/>
      <c r="H15" s="27"/>
      <c r="I15" s="27"/>
      <c r="J15" s="27"/>
      <c r="K15" s="27"/>
      <c r="L15" s="27"/>
      <c r="M15" s="27"/>
      <c r="N15" s="27"/>
      <c r="O15" s="27"/>
      <c r="P15" s="27"/>
      <c r="Q15" s="27">
        <f t="shared" si="0"/>
        <v>0</v>
      </c>
      <c r="R15" s="25"/>
    </row>
    <row r="16" spans="1:18" ht="15">
      <c r="A16" s="10">
        <v>13</v>
      </c>
      <c r="B16" s="11" t="s">
        <v>109</v>
      </c>
      <c r="C16" s="12"/>
      <c r="D16" s="12">
        <v>220</v>
      </c>
      <c r="E16" s="13" t="s">
        <v>31</v>
      </c>
      <c r="F16" s="15">
        <v>5</v>
      </c>
      <c r="G16" s="15"/>
      <c r="H16" s="27"/>
      <c r="I16" s="27"/>
      <c r="J16" s="27"/>
      <c r="K16" s="27"/>
      <c r="L16" s="27"/>
      <c r="M16" s="27"/>
      <c r="N16" s="27"/>
      <c r="O16" s="27"/>
      <c r="P16" s="27"/>
      <c r="Q16" s="27">
        <f t="shared" si="0"/>
        <v>0</v>
      </c>
      <c r="R16" s="25"/>
    </row>
    <row r="17" spans="1:18" ht="15">
      <c r="A17" s="10">
        <v>14</v>
      </c>
      <c r="B17" s="11" t="s">
        <v>35</v>
      </c>
      <c r="C17" s="12"/>
      <c r="D17" s="12">
        <v>500</v>
      </c>
      <c r="E17" s="13" t="s">
        <v>36</v>
      </c>
      <c r="F17" s="15">
        <v>5</v>
      </c>
      <c r="G17" s="15"/>
      <c r="H17" s="27"/>
      <c r="I17" s="27"/>
      <c r="J17" s="27"/>
      <c r="K17" s="27"/>
      <c r="L17" s="27"/>
      <c r="M17" s="27"/>
      <c r="N17" s="27"/>
      <c r="O17" s="27"/>
      <c r="P17" s="27"/>
      <c r="Q17" s="27">
        <f t="shared" si="0"/>
        <v>0</v>
      </c>
      <c r="R17" s="23"/>
    </row>
    <row r="18" spans="1:18" ht="15">
      <c r="A18" s="10">
        <v>15</v>
      </c>
      <c r="B18" s="11" t="s">
        <v>37</v>
      </c>
      <c r="C18" s="12"/>
      <c r="D18" s="12">
        <v>400</v>
      </c>
      <c r="E18" s="13" t="s">
        <v>38</v>
      </c>
      <c r="F18" s="15">
        <v>5</v>
      </c>
      <c r="G18" s="15"/>
      <c r="H18" s="27"/>
      <c r="I18" s="27"/>
      <c r="J18" s="27"/>
      <c r="K18" s="27"/>
      <c r="L18" s="27"/>
      <c r="M18" s="27"/>
      <c r="N18" s="27"/>
      <c r="O18" s="27"/>
      <c r="P18" s="27"/>
      <c r="Q18" s="27">
        <f t="shared" si="0"/>
        <v>0</v>
      </c>
      <c r="R18" s="23"/>
    </row>
    <row r="19" spans="1:18" ht="15">
      <c r="A19" s="10">
        <v>16</v>
      </c>
      <c r="B19" s="11" t="s">
        <v>40</v>
      </c>
      <c r="C19" s="12"/>
      <c r="D19" s="12">
        <v>220</v>
      </c>
      <c r="E19" s="13" t="s">
        <v>41</v>
      </c>
      <c r="F19" s="15">
        <v>5</v>
      </c>
      <c r="G19" s="15"/>
      <c r="H19" s="27"/>
      <c r="I19" s="27"/>
      <c r="J19" s="27"/>
      <c r="K19" s="27"/>
      <c r="L19" s="27"/>
      <c r="M19" s="27"/>
      <c r="N19" s="27"/>
      <c r="O19" s="27"/>
      <c r="P19" s="27"/>
      <c r="Q19" s="27">
        <f t="shared" si="0"/>
        <v>0</v>
      </c>
      <c r="R19" s="23"/>
    </row>
    <row r="20" spans="1:18" ht="15">
      <c r="A20" s="10">
        <v>17</v>
      </c>
      <c r="B20" s="11" t="s">
        <v>42</v>
      </c>
      <c r="C20" s="12"/>
      <c r="D20" s="12">
        <v>220</v>
      </c>
      <c r="E20" s="13" t="s">
        <v>41</v>
      </c>
      <c r="F20" s="15">
        <v>5</v>
      </c>
      <c r="G20" s="15"/>
      <c r="H20" s="27"/>
      <c r="I20" s="27"/>
      <c r="J20" s="27"/>
      <c r="K20" s="27"/>
      <c r="L20" s="27"/>
      <c r="M20" s="27"/>
      <c r="N20" s="27"/>
      <c r="O20" s="27"/>
      <c r="P20" s="27"/>
      <c r="Q20" s="27">
        <f t="shared" si="0"/>
        <v>0</v>
      </c>
      <c r="R20" s="23"/>
    </row>
    <row r="21" spans="1:18" ht="15">
      <c r="A21" s="10">
        <v>18</v>
      </c>
      <c r="B21" s="11" t="s">
        <v>43</v>
      </c>
      <c r="C21" s="12"/>
      <c r="D21" s="12">
        <v>220</v>
      </c>
      <c r="E21" s="13" t="s">
        <v>41</v>
      </c>
      <c r="F21" s="15">
        <v>5</v>
      </c>
      <c r="G21" s="15"/>
      <c r="H21" s="27"/>
      <c r="I21" s="27"/>
      <c r="J21" s="27"/>
      <c r="K21" s="27"/>
      <c r="L21" s="27"/>
      <c r="M21" s="27"/>
      <c r="N21" s="27"/>
      <c r="O21" s="27"/>
      <c r="P21" s="27"/>
      <c r="Q21" s="27">
        <f t="shared" si="0"/>
        <v>0</v>
      </c>
      <c r="R21" s="23"/>
    </row>
    <row r="22" spans="1:18" ht="15">
      <c r="A22" s="10">
        <v>19</v>
      </c>
      <c r="B22" s="11" t="s">
        <v>48</v>
      </c>
      <c r="C22" s="12"/>
      <c r="D22" s="12">
        <v>300</v>
      </c>
      <c r="E22" s="13" t="s">
        <v>49</v>
      </c>
      <c r="F22" s="15">
        <v>5</v>
      </c>
      <c r="G22" s="15"/>
      <c r="H22" s="27"/>
      <c r="I22" s="27"/>
      <c r="J22" s="27"/>
      <c r="K22" s="27"/>
      <c r="L22" s="27"/>
      <c r="M22" s="27"/>
      <c r="N22" s="27"/>
      <c r="O22" s="27"/>
      <c r="P22" s="27"/>
      <c r="Q22" s="27">
        <f t="shared" si="0"/>
        <v>0</v>
      </c>
      <c r="R22" s="23"/>
    </row>
    <row r="23" spans="1:18" ht="15">
      <c r="A23" s="10">
        <v>20</v>
      </c>
      <c r="B23" s="11" t="s">
        <v>50</v>
      </c>
      <c r="C23" s="12"/>
      <c r="D23" s="12">
        <v>100</v>
      </c>
      <c r="E23" s="13" t="s">
        <v>49</v>
      </c>
      <c r="F23" s="15">
        <v>5</v>
      </c>
      <c r="G23" s="15"/>
      <c r="H23" s="27"/>
      <c r="I23" s="27"/>
      <c r="J23" s="27"/>
      <c r="K23" s="27"/>
      <c r="L23" s="27"/>
      <c r="M23" s="27"/>
      <c r="N23" s="27"/>
      <c r="O23" s="27"/>
      <c r="P23" s="27"/>
      <c r="Q23" s="27">
        <f t="shared" si="0"/>
        <v>0</v>
      </c>
      <c r="R23" s="23"/>
    </row>
    <row r="24" spans="1:18" ht="15">
      <c r="A24" s="10">
        <v>21</v>
      </c>
      <c r="B24" s="11" t="s">
        <v>51</v>
      </c>
      <c r="C24" s="12"/>
      <c r="D24" s="12">
        <v>250</v>
      </c>
      <c r="E24" s="13" t="s">
        <v>52</v>
      </c>
      <c r="F24" s="15">
        <v>5</v>
      </c>
      <c r="G24" s="15"/>
      <c r="H24" s="27"/>
      <c r="I24" s="27"/>
      <c r="J24" s="27"/>
      <c r="K24" s="27"/>
      <c r="L24" s="27"/>
      <c r="M24" s="27"/>
      <c r="N24" s="27"/>
      <c r="O24" s="27"/>
      <c r="P24" s="27"/>
      <c r="Q24" s="27">
        <f t="shared" si="0"/>
        <v>0</v>
      </c>
      <c r="R24" s="23"/>
    </row>
    <row r="25" spans="1:18" ht="15">
      <c r="A25" s="10">
        <v>22</v>
      </c>
      <c r="B25" s="35" t="s">
        <v>53</v>
      </c>
      <c r="C25" s="12"/>
      <c r="D25" s="12">
        <v>300</v>
      </c>
      <c r="E25" s="13" t="s">
        <v>54</v>
      </c>
      <c r="F25" s="15">
        <v>5</v>
      </c>
      <c r="G25" s="15"/>
      <c r="H25" s="27"/>
      <c r="I25" s="27"/>
      <c r="J25" s="27"/>
      <c r="K25" s="27"/>
      <c r="L25" s="27"/>
      <c r="M25" s="27"/>
      <c r="N25" s="27"/>
      <c r="O25" s="27"/>
      <c r="P25" s="27"/>
      <c r="Q25" s="27">
        <f t="shared" si="0"/>
        <v>0</v>
      </c>
      <c r="R25" s="23"/>
    </row>
    <row r="26" spans="1:18" ht="15">
      <c r="A26" s="10">
        <v>23</v>
      </c>
      <c r="B26" s="35" t="s">
        <v>55</v>
      </c>
      <c r="C26" s="12"/>
      <c r="D26" s="12">
        <v>300</v>
      </c>
      <c r="E26" s="13" t="s">
        <v>54</v>
      </c>
      <c r="F26" s="15">
        <v>5</v>
      </c>
      <c r="G26" s="15"/>
      <c r="H26" s="27"/>
      <c r="I26" s="27"/>
      <c r="J26" s="27"/>
      <c r="K26" s="27"/>
      <c r="L26" s="27"/>
      <c r="M26" s="27"/>
      <c r="N26" s="27"/>
      <c r="O26" s="27"/>
      <c r="P26" s="27"/>
      <c r="Q26" s="27">
        <f t="shared" si="0"/>
        <v>0</v>
      </c>
      <c r="R26" s="23"/>
    </row>
    <row r="27" spans="1:18" ht="15">
      <c r="A27" s="10">
        <v>24</v>
      </c>
      <c r="B27" s="11" t="s">
        <v>166</v>
      </c>
      <c r="C27" s="12"/>
      <c r="D27" s="12">
        <v>150</v>
      </c>
      <c r="E27" s="13" t="s">
        <v>54</v>
      </c>
      <c r="F27" s="15">
        <v>5</v>
      </c>
      <c r="G27" s="15"/>
      <c r="H27" s="27"/>
      <c r="I27" s="27"/>
      <c r="J27" s="27"/>
      <c r="K27" s="27"/>
      <c r="L27" s="27"/>
      <c r="M27" s="27"/>
      <c r="N27" s="27"/>
      <c r="O27" s="27"/>
      <c r="P27" s="27"/>
      <c r="Q27" s="27">
        <f t="shared" si="0"/>
        <v>0</v>
      </c>
      <c r="R27" s="23"/>
    </row>
    <row r="28" spans="1:18" ht="15">
      <c r="A28" s="10">
        <v>25</v>
      </c>
      <c r="B28" s="11" t="s">
        <v>167</v>
      </c>
      <c r="C28" s="12"/>
      <c r="D28" s="12">
        <v>250</v>
      </c>
      <c r="E28" s="13" t="s">
        <v>61</v>
      </c>
      <c r="F28" s="15"/>
      <c r="G28" s="15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3"/>
    </row>
    <row r="29" spans="1:18" ht="15">
      <c r="A29" s="10">
        <v>26</v>
      </c>
      <c r="B29" s="11" t="s">
        <v>60</v>
      </c>
      <c r="C29" s="12"/>
      <c r="D29" s="12">
        <v>350</v>
      </c>
      <c r="E29" s="13" t="s">
        <v>61</v>
      </c>
      <c r="F29" s="15">
        <v>5</v>
      </c>
      <c r="G29" s="15"/>
      <c r="H29" s="27"/>
      <c r="I29" s="27"/>
      <c r="J29" s="27"/>
      <c r="K29" s="27"/>
      <c r="L29" s="27"/>
      <c r="M29" s="27"/>
      <c r="N29" s="27"/>
      <c r="O29" s="27"/>
      <c r="P29" s="27"/>
      <c r="Q29" s="27">
        <f t="shared" ref="Q29:Q56" si="1">SUM(H29:P29)</f>
        <v>0</v>
      </c>
      <c r="R29" s="23"/>
    </row>
    <row r="30" spans="1:18" ht="15">
      <c r="A30" s="10">
        <v>27</v>
      </c>
      <c r="B30" s="11" t="s">
        <v>113</v>
      </c>
      <c r="C30" s="12"/>
      <c r="D30" s="12">
        <v>200</v>
      </c>
      <c r="E30" s="13" t="s">
        <v>114</v>
      </c>
      <c r="F30" s="15"/>
      <c r="G30" s="15"/>
      <c r="H30" s="27"/>
      <c r="I30" s="27"/>
      <c r="J30" s="27"/>
      <c r="K30" s="27"/>
      <c r="L30" s="27"/>
      <c r="M30" s="27"/>
      <c r="N30" s="27"/>
      <c r="O30" s="27"/>
      <c r="P30" s="27"/>
      <c r="Q30" s="27">
        <f t="shared" si="1"/>
        <v>0</v>
      </c>
      <c r="R30" s="23"/>
    </row>
    <row r="31" spans="1:18" ht="15">
      <c r="A31" s="10">
        <v>28</v>
      </c>
      <c r="B31" s="11" t="s">
        <v>71</v>
      </c>
      <c r="C31" s="12"/>
      <c r="D31" s="16">
        <v>225</v>
      </c>
      <c r="E31" s="17" t="s">
        <v>72</v>
      </c>
      <c r="F31" s="15">
        <v>5</v>
      </c>
      <c r="G31" s="15"/>
      <c r="H31" s="27"/>
      <c r="I31" s="27"/>
      <c r="J31" s="27"/>
      <c r="K31" s="27"/>
      <c r="L31" s="27"/>
      <c r="M31" s="27"/>
      <c r="N31" s="27"/>
      <c r="O31" s="27"/>
      <c r="P31" s="27"/>
      <c r="Q31" s="27">
        <f t="shared" si="1"/>
        <v>0</v>
      </c>
      <c r="R31" s="23"/>
    </row>
    <row r="32" spans="1:18" ht="15">
      <c r="A32" s="10">
        <v>29</v>
      </c>
      <c r="B32" s="18" t="s">
        <v>75</v>
      </c>
      <c r="C32" s="12"/>
      <c r="D32" s="12">
        <v>450</v>
      </c>
      <c r="E32" s="13" t="s">
        <v>76</v>
      </c>
      <c r="F32" s="15"/>
      <c r="G32" s="15"/>
      <c r="H32" s="27"/>
      <c r="I32" s="27"/>
      <c r="J32" s="27"/>
      <c r="K32" s="27"/>
      <c r="L32" s="27"/>
      <c r="M32" s="27"/>
      <c r="N32" s="27"/>
      <c r="O32" s="27"/>
      <c r="P32" s="27"/>
      <c r="Q32" s="27">
        <f t="shared" si="1"/>
        <v>0</v>
      </c>
      <c r="R32" s="23"/>
    </row>
    <row r="33" spans="1:18" ht="15">
      <c r="A33" s="10">
        <v>30</v>
      </c>
      <c r="B33" s="11" t="s">
        <v>87</v>
      </c>
      <c r="C33" s="12"/>
      <c r="D33" s="16">
        <v>200</v>
      </c>
      <c r="E33" s="17" t="s">
        <v>88</v>
      </c>
      <c r="F33" s="15">
        <v>5</v>
      </c>
      <c r="G33" s="15"/>
      <c r="H33" s="27"/>
      <c r="I33" s="27"/>
      <c r="J33" s="27"/>
      <c r="K33" s="27"/>
      <c r="L33" s="27"/>
      <c r="M33" s="27"/>
      <c r="N33" s="27"/>
      <c r="O33" s="27"/>
      <c r="P33" s="27"/>
      <c r="Q33" s="27">
        <f t="shared" si="1"/>
        <v>0</v>
      </c>
      <c r="R33" s="23"/>
    </row>
    <row r="34" spans="1:18" ht="15">
      <c r="A34" s="10">
        <v>31</v>
      </c>
      <c r="B34" s="11" t="s">
        <v>120</v>
      </c>
      <c r="C34" s="12"/>
      <c r="D34" s="16">
        <v>250</v>
      </c>
      <c r="E34" s="17" t="s">
        <v>119</v>
      </c>
      <c r="F34" s="15">
        <v>5</v>
      </c>
      <c r="G34" s="15"/>
      <c r="H34" s="27"/>
      <c r="I34" s="27"/>
      <c r="J34" s="27"/>
      <c r="K34" s="27"/>
      <c r="L34" s="27"/>
      <c r="M34" s="27"/>
      <c r="N34" s="27"/>
      <c r="O34" s="27"/>
      <c r="P34" s="27"/>
      <c r="Q34" s="27">
        <f t="shared" si="1"/>
        <v>0</v>
      </c>
      <c r="R34" s="25"/>
    </row>
    <row r="35" spans="1:18" ht="15">
      <c r="A35" s="10">
        <v>32</v>
      </c>
      <c r="B35" s="11" t="s">
        <v>121</v>
      </c>
      <c r="C35" s="12"/>
      <c r="D35" s="16">
        <v>350</v>
      </c>
      <c r="E35" s="17" t="s">
        <v>122</v>
      </c>
      <c r="F35" s="15">
        <v>5</v>
      </c>
      <c r="G35" s="15"/>
      <c r="H35" s="27"/>
      <c r="I35" s="27"/>
      <c r="J35" s="27"/>
      <c r="K35" s="27"/>
      <c r="L35" s="27"/>
      <c r="M35" s="27"/>
      <c r="N35" s="27"/>
      <c r="O35" s="27"/>
      <c r="P35" s="27"/>
      <c r="Q35" s="27">
        <f t="shared" si="1"/>
        <v>0</v>
      </c>
      <c r="R35" s="25"/>
    </row>
    <row r="36" spans="1:18" ht="15">
      <c r="A36" s="10">
        <v>33</v>
      </c>
      <c r="B36" s="11" t="s">
        <v>123</v>
      </c>
      <c r="C36" s="12"/>
      <c r="D36" s="16">
        <v>350</v>
      </c>
      <c r="E36" s="17" t="s">
        <v>122</v>
      </c>
      <c r="F36" s="15">
        <v>5</v>
      </c>
      <c r="G36" s="15"/>
      <c r="H36" s="27"/>
      <c r="I36" s="27"/>
      <c r="J36" s="27"/>
      <c r="K36" s="27"/>
      <c r="L36" s="27"/>
      <c r="M36" s="27"/>
      <c r="N36" s="27"/>
      <c r="O36" s="27"/>
      <c r="P36" s="27"/>
      <c r="Q36" s="27">
        <f t="shared" si="1"/>
        <v>0</v>
      </c>
      <c r="R36" s="25"/>
    </row>
    <row r="37" spans="1:18" ht="15">
      <c r="A37" s="10">
        <v>34</v>
      </c>
      <c r="B37" s="11" t="s">
        <v>68</v>
      </c>
      <c r="C37" s="12"/>
      <c r="D37" s="16">
        <v>150</v>
      </c>
      <c r="E37" s="38" t="s">
        <v>67</v>
      </c>
      <c r="F37" s="15">
        <v>5</v>
      </c>
      <c r="G37" s="15"/>
      <c r="H37" s="27"/>
      <c r="I37" s="27"/>
      <c r="J37" s="27"/>
      <c r="K37" s="27"/>
      <c r="L37" s="27"/>
      <c r="M37" s="27"/>
      <c r="N37" s="27"/>
      <c r="O37" s="27"/>
      <c r="P37" s="27"/>
      <c r="Q37" s="27">
        <f t="shared" si="1"/>
        <v>0</v>
      </c>
      <c r="R37" s="25"/>
    </row>
    <row r="38" spans="1:18" ht="15">
      <c r="A38" s="10">
        <v>35</v>
      </c>
      <c r="B38" s="11" t="s">
        <v>126</v>
      </c>
      <c r="C38" s="12"/>
      <c r="D38" s="16">
        <v>300</v>
      </c>
      <c r="E38" s="38" t="s">
        <v>67</v>
      </c>
      <c r="F38" s="15">
        <v>5</v>
      </c>
      <c r="G38" s="15"/>
      <c r="H38" s="27"/>
      <c r="I38" s="27"/>
      <c r="J38" s="27"/>
      <c r="K38" s="27"/>
      <c r="L38" s="27"/>
      <c r="M38" s="27"/>
      <c r="N38" s="27"/>
      <c r="O38" s="27"/>
      <c r="P38" s="27"/>
      <c r="Q38" s="27">
        <f t="shared" si="1"/>
        <v>0</v>
      </c>
      <c r="R38" s="25"/>
    </row>
    <row r="39" spans="1:18" ht="15">
      <c r="A39" s="10">
        <v>36</v>
      </c>
      <c r="B39" s="41" t="s">
        <v>154</v>
      </c>
      <c r="C39" s="12"/>
      <c r="D39" s="16">
        <v>260</v>
      </c>
      <c r="E39" s="38" t="s">
        <v>155</v>
      </c>
      <c r="F39" s="15">
        <v>5</v>
      </c>
      <c r="G39" s="42"/>
      <c r="H39" s="28"/>
      <c r="I39" s="27"/>
      <c r="J39" s="27"/>
      <c r="K39" s="27"/>
      <c r="L39" s="27"/>
      <c r="M39" s="27"/>
      <c r="N39" s="27"/>
      <c r="O39" s="27"/>
      <c r="P39" s="27"/>
      <c r="Q39" s="27">
        <f t="shared" si="1"/>
        <v>0</v>
      </c>
      <c r="R39" s="25"/>
    </row>
    <row r="40" spans="1:18" ht="15">
      <c r="A40" s="10">
        <v>37</v>
      </c>
      <c r="B40" s="41" t="s">
        <v>156</v>
      </c>
      <c r="C40" s="39"/>
      <c r="D40" s="43">
        <v>549</v>
      </c>
      <c r="E40" s="44" t="s">
        <v>157</v>
      </c>
      <c r="F40" s="15">
        <v>5</v>
      </c>
      <c r="G40" s="42"/>
      <c r="H40" s="28"/>
      <c r="I40" s="27"/>
      <c r="J40" s="27"/>
      <c r="K40" s="27"/>
      <c r="L40" s="27"/>
      <c r="M40" s="27"/>
      <c r="N40" s="27"/>
      <c r="O40" s="27"/>
      <c r="P40" s="27"/>
      <c r="Q40" s="27">
        <f t="shared" si="1"/>
        <v>0</v>
      </c>
      <c r="R40" s="25"/>
    </row>
    <row r="41" spans="1:18" ht="15">
      <c r="A41" s="10">
        <v>38</v>
      </c>
      <c r="B41" s="41" t="s">
        <v>168</v>
      </c>
      <c r="C41" s="39"/>
      <c r="D41" s="43">
        <v>249</v>
      </c>
      <c r="E41" s="44" t="s">
        <v>169</v>
      </c>
      <c r="F41" s="15"/>
      <c r="G41" s="42"/>
      <c r="H41" s="28"/>
      <c r="I41" s="27"/>
      <c r="J41" s="27"/>
      <c r="K41" s="27"/>
      <c r="L41" s="27"/>
      <c r="M41" s="27"/>
      <c r="N41" s="27"/>
      <c r="O41" s="27"/>
      <c r="P41" s="27"/>
      <c r="Q41" s="27">
        <f t="shared" si="1"/>
        <v>0</v>
      </c>
      <c r="R41" s="25"/>
    </row>
    <row r="42" spans="1:18" ht="15">
      <c r="A42" s="10">
        <v>39</v>
      </c>
      <c r="B42" s="41" t="s">
        <v>170</v>
      </c>
      <c r="C42" s="39"/>
      <c r="D42" s="43">
        <v>150</v>
      </c>
      <c r="E42" s="44" t="s">
        <v>171</v>
      </c>
      <c r="F42" s="15">
        <v>5</v>
      </c>
      <c r="G42" s="42"/>
      <c r="H42" s="28"/>
      <c r="I42" s="27"/>
      <c r="J42" s="27"/>
      <c r="K42" s="27"/>
      <c r="L42" s="27"/>
      <c r="M42" s="27"/>
      <c r="N42" s="27"/>
      <c r="O42" s="27"/>
      <c r="P42" s="27"/>
      <c r="Q42" s="27">
        <f t="shared" si="1"/>
        <v>0</v>
      </c>
      <c r="R42" s="25"/>
    </row>
    <row r="43" spans="1:18" ht="15">
      <c r="A43" s="10">
        <v>40</v>
      </c>
      <c r="B43" s="41" t="s">
        <v>172</v>
      </c>
      <c r="C43" s="39"/>
      <c r="D43" s="43">
        <v>150</v>
      </c>
      <c r="E43" s="44" t="s">
        <v>171</v>
      </c>
      <c r="F43" s="15">
        <v>5</v>
      </c>
      <c r="G43" s="42"/>
      <c r="H43" s="28"/>
      <c r="I43" s="27"/>
      <c r="J43" s="27"/>
      <c r="K43" s="27"/>
      <c r="L43" s="27"/>
      <c r="M43" s="27"/>
      <c r="N43" s="27"/>
      <c r="O43" s="27"/>
      <c r="P43" s="27"/>
      <c r="Q43" s="27">
        <f t="shared" si="1"/>
        <v>0</v>
      </c>
      <c r="R43" s="25"/>
    </row>
    <row r="44" spans="1:18" ht="15">
      <c r="A44" s="10">
        <v>41</v>
      </c>
      <c r="B44" s="41" t="s">
        <v>173</v>
      </c>
      <c r="C44" s="39"/>
      <c r="D44" s="43">
        <v>150</v>
      </c>
      <c r="E44" s="44" t="s">
        <v>171</v>
      </c>
      <c r="F44" s="15">
        <v>5</v>
      </c>
      <c r="G44" s="42"/>
      <c r="H44" s="28"/>
      <c r="I44" s="27"/>
      <c r="J44" s="27"/>
      <c r="K44" s="27"/>
      <c r="L44" s="27"/>
      <c r="M44" s="27"/>
      <c r="N44" s="27"/>
      <c r="O44" s="27"/>
      <c r="P44" s="27"/>
      <c r="Q44" s="27">
        <f t="shared" si="1"/>
        <v>0</v>
      </c>
      <c r="R44" s="25"/>
    </row>
    <row r="45" spans="1:18" ht="15">
      <c r="A45" s="10">
        <v>42</v>
      </c>
      <c r="B45" s="41" t="s">
        <v>174</v>
      </c>
      <c r="C45" s="39"/>
      <c r="D45" s="43">
        <v>200</v>
      </c>
      <c r="E45" s="44" t="s">
        <v>175</v>
      </c>
      <c r="F45" s="15">
        <v>5</v>
      </c>
      <c r="G45" s="42"/>
      <c r="H45" s="28"/>
      <c r="I45" s="27"/>
      <c r="J45" s="27"/>
      <c r="K45" s="27"/>
      <c r="L45" s="27"/>
      <c r="M45" s="27"/>
      <c r="N45" s="27"/>
      <c r="O45" s="27"/>
      <c r="P45" s="27"/>
      <c r="Q45" s="27">
        <f t="shared" si="1"/>
        <v>0</v>
      </c>
      <c r="R45" s="25"/>
    </row>
    <row r="46" spans="1:18" ht="15">
      <c r="A46" s="10">
        <v>43</v>
      </c>
      <c r="B46" s="41" t="s">
        <v>176</v>
      </c>
      <c r="C46" s="39"/>
      <c r="D46" s="43">
        <v>200</v>
      </c>
      <c r="E46" s="44" t="s">
        <v>175</v>
      </c>
      <c r="F46" s="15">
        <v>5</v>
      </c>
      <c r="G46" s="42"/>
      <c r="H46" s="28"/>
      <c r="I46" s="27"/>
      <c r="J46" s="27"/>
      <c r="K46" s="27"/>
      <c r="L46" s="27"/>
      <c r="M46" s="27"/>
      <c r="N46" s="27"/>
      <c r="O46" s="27"/>
      <c r="P46" s="27"/>
      <c r="Q46" s="27">
        <f t="shared" si="1"/>
        <v>0</v>
      </c>
      <c r="R46" s="25"/>
    </row>
    <row r="47" spans="1:18" ht="15">
      <c r="A47" s="10">
        <v>44</v>
      </c>
      <c r="B47" s="41" t="s">
        <v>177</v>
      </c>
      <c r="C47" s="39"/>
      <c r="D47" s="43">
        <v>300</v>
      </c>
      <c r="E47" s="44" t="s">
        <v>178</v>
      </c>
      <c r="F47" s="15">
        <v>5</v>
      </c>
      <c r="G47" s="42"/>
      <c r="H47" s="28"/>
      <c r="I47" s="27"/>
      <c r="J47" s="27"/>
      <c r="K47" s="27"/>
      <c r="L47" s="27"/>
      <c r="M47" s="27"/>
      <c r="N47" s="27"/>
      <c r="O47" s="27"/>
      <c r="P47" s="27"/>
      <c r="Q47" s="27">
        <f t="shared" si="1"/>
        <v>0</v>
      </c>
      <c r="R47" s="25"/>
    </row>
    <row r="48" spans="1:18" ht="15">
      <c r="A48" s="10">
        <v>45</v>
      </c>
      <c r="B48" s="41" t="s">
        <v>179</v>
      </c>
      <c r="C48" s="39"/>
      <c r="D48" s="43">
        <v>350</v>
      </c>
      <c r="E48" s="44" t="s">
        <v>178</v>
      </c>
      <c r="F48" s="15">
        <v>5</v>
      </c>
      <c r="G48" s="42"/>
      <c r="H48" s="28"/>
      <c r="I48" s="27"/>
      <c r="J48" s="27"/>
      <c r="K48" s="27"/>
      <c r="L48" s="27"/>
      <c r="M48" s="27"/>
      <c r="N48" s="27"/>
      <c r="O48" s="27"/>
      <c r="P48" s="27"/>
      <c r="Q48" s="27">
        <f t="shared" si="1"/>
        <v>0</v>
      </c>
      <c r="R48" s="25"/>
    </row>
    <row r="49" spans="1:18" ht="15">
      <c r="A49" s="10">
        <v>46</v>
      </c>
      <c r="B49" s="41" t="s">
        <v>180</v>
      </c>
      <c r="C49" s="39"/>
      <c r="D49" s="43">
        <v>399</v>
      </c>
      <c r="E49" s="44" t="s">
        <v>181</v>
      </c>
      <c r="F49" s="15">
        <v>5</v>
      </c>
      <c r="G49" s="42"/>
      <c r="H49" s="28"/>
      <c r="I49" s="27"/>
      <c r="J49" s="27"/>
      <c r="K49" s="27"/>
      <c r="L49" s="27"/>
      <c r="M49" s="27"/>
      <c r="N49" s="27"/>
      <c r="O49" s="27"/>
      <c r="P49" s="27"/>
      <c r="Q49" s="27">
        <f t="shared" si="1"/>
        <v>0</v>
      </c>
      <c r="R49" s="25"/>
    </row>
    <row r="50" spans="1:18" ht="15">
      <c r="A50" s="10">
        <v>47</v>
      </c>
      <c r="B50" s="41" t="s">
        <v>182</v>
      </c>
      <c r="C50" s="39"/>
      <c r="D50" s="43">
        <v>245</v>
      </c>
      <c r="E50" s="44" t="s">
        <v>183</v>
      </c>
      <c r="F50" s="15">
        <v>5</v>
      </c>
      <c r="G50" s="42"/>
      <c r="H50" s="28"/>
      <c r="I50" s="27"/>
      <c r="J50" s="27"/>
      <c r="K50" s="27"/>
      <c r="L50" s="27"/>
      <c r="M50" s="27"/>
      <c r="N50" s="27"/>
      <c r="O50" s="27"/>
      <c r="P50" s="27"/>
      <c r="Q50" s="27">
        <f t="shared" si="1"/>
        <v>0</v>
      </c>
      <c r="R50" s="25"/>
    </row>
    <row r="51" spans="1:18" ht="15">
      <c r="A51" s="10">
        <v>48</v>
      </c>
      <c r="B51" s="41" t="s">
        <v>184</v>
      </c>
      <c r="C51" s="39"/>
      <c r="D51" s="43">
        <v>421</v>
      </c>
      <c r="E51" s="44" t="s">
        <v>185</v>
      </c>
      <c r="F51" s="15">
        <v>5</v>
      </c>
      <c r="G51" s="42"/>
      <c r="H51" s="28"/>
      <c r="I51" s="27"/>
      <c r="J51" s="27"/>
      <c r="K51" s="27"/>
      <c r="L51" s="27"/>
      <c r="M51" s="27"/>
      <c r="N51" s="27"/>
      <c r="O51" s="27"/>
      <c r="P51" s="27"/>
      <c r="Q51" s="27">
        <f t="shared" si="1"/>
        <v>0</v>
      </c>
      <c r="R51" s="25"/>
    </row>
    <row r="52" spans="1:18" ht="15">
      <c r="A52" s="10">
        <v>49</v>
      </c>
      <c r="B52" s="41" t="s">
        <v>186</v>
      </c>
      <c r="C52" s="39"/>
      <c r="D52" s="43"/>
      <c r="E52" s="44" t="s">
        <v>84</v>
      </c>
      <c r="F52" s="15"/>
      <c r="G52" s="42"/>
      <c r="H52" s="28"/>
      <c r="I52" s="27"/>
      <c r="J52" s="27"/>
      <c r="K52" s="27"/>
      <c r="L52" s="27"/>
      <c r="M52" s="27"/>
      <c r="N52" s="27"/>
      <c r="O52" s="27"/>
      <c r="P52" s="27"/>
      <c r="Q52" s="27">
        <f t="shared" si="1"/>
        <v>0</v>
      </c>
      <c r="R52" s="25"/>
    </row>
    <row r="53" spans="1:18" ht="15">
      <c r="A53" s="10">
        <v>50</v>
      </c>
      <c r="B53" s="41" t="s">
        <v>187</v>
      </c>
      <c r="C53" s="39"/>
      <c r="D53" s="43"/>
      <c r="E53" s="44" t="s">
        <v>84</v>
      </c>
      <c r="F53" s="15"/>
      <c r="G53" s="42"/>
      <c r="H53" s="28"/>
      <c r="I53" s="27"/>
      <c r="J53" s="27"/>
      <c r="K53" s="27"/>
      <c r="L53" s="27"/>
      <c r="M53" s="27"/>
      <c r="N53" s="27"/>
      <c r="O53" s="27"/>
      <c r="P53" s="27"/>
      <c r="Q53" s="27">
        <f t="shared" si="1"/>
        <v>0</v>
      </c>
      <c r="R53" s="25"/>
    </row>
    <row r="54" spans="1:18" ht="15">
      <c r="A54" s="10">
        <v>51</v>
      </c>
      <c r="B54" s="53" t="s">
        <v>188</v>
      </c>
      <c r="C54" s="39"/>
      <c r="D54" s="55"/>
      <c r="E54" s="54" t="s">
        <v>84</v>
      </c>
      <c r="F54" s="15"/>
      <c r="G54" s="42"/>
      <c r="H54" s="28"/>
      <c r="I54" s="27"/>
      <c r="J54" s="27"/>
      <c r="K54" s="27"/>
      <c r="L54" s="27"/>
      <c r="M54" s="27"/>
      <c r="N54" s="27"/>
      <c r="O54" s="27"/>
      <c r="P54" s="27"/>
      <c r="Q54" s="27">
        <f t="shared" si="1"/>
        <v>0</v>
      </c>
      <c r="R54" s="25"/>
    </row>
    <row r="55" spans="1:18" ht="15">
      <c r="A55" s="10">
        <v>52</v>
      </c>
      <c r="B55" s="53" t="s">
        <v>194</v>
      </c>
      <c r="C55" s="55"/>
      <c r="D55" s="55">
        <v>385</v>
      </c>
      <c r="E55" s="33" t="s">
        <v>190</v>
      </c>
      <c r="F55" s="40">
        <v>5</v>
      </c>
      <c r="G55" s="45"/>
      <c r="H55" s="51"/>
      <c r="I55" s="27"/>
      <c r="J55" s="27"/>
      <c r="K55" s="27"/>
      <c r="L55" s="27"/>
      <c r="M55" s="27"/>
      <c r="N55" s="27"/>
      <c r="O55" s="27"/>
      <c r="P55" s="27"/>
      <c r="Q55" s="27">
        <f t="shared" si="1"/>
        <v>0</v>
      </c>
      <c r="R55" s="25"/>
    </row>
    <row r="56" spans="1:18" ht="15">
      <c r="A56" s="10">
        <v>53</v>
      </c>
      <c r="B56" s="11" t="s">
        <v>195</v>
      </c>
      <c r="C56" s="12"/>
      <c r="D56" s="12">
        <v>375</v>
      </c>
      <c r="E56" s="33" t="s">
        <v>190</v>
      </c>
      <c r="F56" s="15">
        <v>5</v>
      </c>
      <c r="G56" s="42"/>
      <c r="H56" s="27"/>
      <c r="I56" s="27"/>
      <c r="J56" s="27"/>
      <c r="K56" s="27"/>
      <c r="L56" s="27"/>
      <c r="M56" s="27"/>
      <c r="N56" s="27"/>
      <c r="O56" s="27"/>
      <c r="P56" s="27"/>
      <c r="Q56" s="27">
        <f t="shared" si="1"/>
        <v>0</v>
      </c>
      <c r="R56" s="25"/>
    </row>
    <row r="57" spans="1:18" ht="21.6" thickBot="1">
      <c r="A57" s="10"/>
      <c r="B57" s="56"/>
      <c r="C57" s="59">
        <f>SUM(C4:C54)</f>
        <v>0</v>
      </c>
      <c r="D57" s="47"/>
      <c r="E57" s="48"/>
      <c r="F57" s="57">
        <f>SUM(F4:F54)</f>
        <v>210</v>
      </c>
      <c r="G57" s="58">
        <f>SUM(G4:G40)</f>
        <v>0</v>
      </c>
      <c r="H57" s="52">
        <f t="shared" ref="H57:Q57" si="2">SUM(H4:H55)</f>
        <v>0</v>
      </c>
      <c r="I57" s="30">
        <f t="shared" si="2"/>
        <v>0</v>
      </c>
      <c r="J57" s="30">
        <f t="shared" si="2"/>
        <v>0</v>
      </c>
      <c r="K57" s="30">
        <f t="shared" si="2"/>
        <v>0</v>
      </c>
      <c r="L57" s="30">
        <f t="shared" si="2"/>
        <v>0</v>
      </c>
      <c r="M57" s="30">
        <f t="shared" si="2"/>
        <v>0</v>
      </c>
      <c r="N57" s="30">
        <f t="shared" si="2"/>
        <v>0</v>
      </c>
      <c r="O57" s="30">
        <f t="shared" si="2"/>
        <v>0</v>
      </c>
      <c r="P57" s="30">
        <f t="shared" si="2"/>
        <v>0</v>
      </c>
      <c r="Q57" s="31">
        <f t="shared" si="2"/>
        <v>0</v>
      </c>
      <c r="R57" s="25"/>
    </row>
    <row r="58" spans="1:18">
      <c r="A58" s="23"/>
      <c r="B58" s="23"/>
      <c r="C58" s="24"/>
      <c r="D58" s="24"/>
      <c r="E58" s="23"/>
      <c r="F58" s="23"/>
      <c r="G58" s="23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3"/>
    </row>
    <row r="59" spans="1:18">
      <c r="A59" s="23"/>
      <c r="B59" s="23"/>
      <c r="C59" s="24"/>
      <c r="D59" s="24"/>
      <c r="E59" s="23"/>
      <c r="F59" s="23"/>
      <c r="G59" s="23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3"/>
    </row>
    <row r="60" spans="1:18">
      <c r="A60" s="23"/>
      <c r="B60" s="23"/>
      <c r="C60" s="24"/>
      <c r="D60" s="24"/>
      <c r="E60" s="23"/>
      <c r="F60" s="23"/>
      <c r="G60" s="23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3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A6F-FE51-4307-A209-861A1EFA64E4}">
  <dimension ref="A1:K74"/>
  <sheetViews>
    <sheetView workbookViewId="0">
      <selection activeCell="E2" sqref="E2:E3"/>
    </sheetView>
  </sheetViews>
  <sheetFormatPr defaultRowHeight="14.4"/>
  <cols>
    <col min="2" max="2" width="72.5546875" customWidth="1"/>
    <col min="3" max="3" width="19.21875" customWidth="1"/>
    <col min="4" max="4" width="23.33203125" customWidth="1"/>
    <col min="5" max="5" width="25.88671875" customWidth="1"/>
    <col min="6" max="7" width="22.77734375" customWidth="1"/>
    <col min="8" max="8" width="27.5546875" customWidth="1"/>
    <col min="9" max="9" width="11.77734375" customWidth="1"/>
    <col min="10" max="10" width="15.44140625" customWidth="1"/>
  </cols>
  <sheetData>
    <row r="1" spans="1:11" ht="17.399999999999999">
      <c r="A1" s="113" t="s">
        <v>198</v>
      </c>
      <c r="B1" s="114"/>
      <c r="C1" s="114"/>
      <c r="D1" s="114"/>
      <c r="E1" s="114"/>
      <c r="F1" s="114"/>
      <c r="G1" s="114"/>
      <c r="H1" s="114"/>
      <c r="I1" s="114"/>
      <c r="J1" s="115"/>
      <c r="K1" s="25"/>
    </row>
    <row r="2" spans="1:11" ht="17.399999999999999">
      <c r="A2" s="116" t="s">
        <v>1</v>
      </c>
      <c r="B2" s="118" t="s">
        <v>2</v>
      </c>
      <c r="C2" s="101" t="s">
        <v>199</v>
      </c>
      <c r="D2" s="120" t="s">
        <v>200</v>
      </c>
      <c r="E2" s="122" t="s">
        <v>4</v>
      </c>
      <c r="F2" s="104" t="s">
        <v>201</v>
      </c>
      <c r="G2" s="106"/>
      <c r="H2" s="110" t="s">
        <v>228</v>
      </c>
      <c r="I2" s="118" t="s">
        <v>202</v>
      </c>
      <c r="J2" s="125" t="s">
        <v>229</v>
      </c>
      <c r="K2" s="60"/>
    </row>
    <row r="3" spans="1:11" ht="53.4" customHeight="1">
      <c r="A3" s="117"/>
      <c r="B3" s="117"/>
      <c r="C3" s="119"/>
      <c r="D3" s="121"/>
      <c r="E3" s="123"/>
      <c r="F3" s="9" t="s">
        <v>226</v>
      </c>
      <c r="G3" s="9" t="s">
        <v>227</v>
      </c>
      <c r="H3" s="124"/>
      <c r="I3" s="117"/>
      <c r="J3" s="117"/>
      <c r="K3" s="60"/>
    </row>
    <row r="4" spans="1:11" ht="15">
      <c r="A4" s="10">
        <v>1</v>
      </c>
      <c r="B4" s="11" t="s">
        <v>14</v>
      </c>
      <c r="C4" s="12"/>
      <c r="D4" s="11" t="s">
        <v>203</v>
      </c>
      <c r="E4" s="13" t="s">
        <v>15</v>
      </c>
      <c r="F4" s="61">
        <v>1</v>
      </c>
      <c r="G4" s="61">
        <v>1</v>
      </c>
      <c r="H4" s="62">
        <f t="shared" ref="H4:H35" si="0">SUM(F4:G4)</f>
        <v>2</v>
      </c>
      <c r="I4" s="14">
        <v>100</v>
      </c>
      <c r="J4" s="63" t="s">
        <v>204</v>
      </c>
      <c r="K4" s="25"/>
    </row>
    <row r="5" spans="1:11" ht="15">
      <c r="A5" s="10">
        <v>2</v>
      </c>
      <c r="B5" s="11" t="s">
        <v>17</v>
      </c>
      <c r="C5" s="12"/>
      <c r="D5" s="11" t="s">
        <v>203</v>
      </c>
      <c r="E5" s="13" t="s">
        <v>15</v>
      </c>
      <c r="F5" s="61">
        <v>1</v>
      </c>
      <c r="G5" s="61">
        <v>1</v>
      </c>
      <c r="H5" s="62">
        <f t="shared" si="0"/>
        <v>2</v>
      </c>
      <c r="I5" s="14">
        <v>100</v>
      </c>
      <c r="J5" s="63" t="s">
        <v>204</v>
      </c>
      <c r="K5" s="25"/>
    </row>
    <row r="6" spans="1:11" ht="15">
      <c r="A6" s="10">
        <v>3</v>
      </c>
      <c r="B6" s="11" t="s">
        <v>18</v>
      </c>
      <c r="C6" s="12"/>
      <c r="D6" s="11" t="s">
        <v>203</v>
      </c>
      <c r="E6" s="13" t="s">
        <v>15</v>
      </c>
      <c r="F6" s="61">
        <v>1</v>
      </c>
      <c r="G6" s="61">
        <v>1</v>
      </c>
      <c r="H6" s="62">
        <f t="shared" si="0"/>
        <v>2</v>
      </c>
      <c r="I6" s="14">
        <v>100</v>
      </c>
      <c r="J6" s="63" t="s">
        <v>204</v>
      </c>
      <c r="K6" s="25"/>
    </row>
    <row r="7" spans="1:11" ht="15">
      <c r="A7" s="10">
        <v>4</v>
      </c>
      <c r="B7" s="11" t="s">
        <v>19</v>
      </c>
      <c r="C7" s="12"/>
      <c r="D7" s="11" t="s">
        <v>203</v>
      </c>
      <c r="E7" s="13" t="s">
        <v>15</v>
      </c>
      <c r="F7" s="61">
        <v>1</v>
      </c>
      <c r="G7" s="61">
        <v>1</v>
      </c>
      <c r="H7" s="62">
        <f t="shared" si="0"/>
        <v>2</v>
      </c>
      <c r="I7" s="14">
        <v>100</v>
      </c>
      <c r="J7" s="63" t="s">
        <v>204</v>
      </c>
      <c r="K7" s="25"/>
    </row>
    <row r="8" spans="1:11" ht="15">
      <c r="A8" s="10">
        <v>5</v>
      </c>
      <c r="B8" s="11" t="s">
        <v>20</v>
      </c>
      <c r="C8" s="12"/>
      <c r="D8" s="11" t="s">
        <v>205</v>
      </c>
      <c r="E8" s="13" t="s">
        <v>21</v>
      </c>
      <c r="F8" s="61">
        <v>1</v>
      </c>
      <c r="G8" s="61">
        <v>1</v>
      </c>
      <c r="H8" s="62">
        <f t="shared" si="0"/>
        <v>2</v>
      </c>
      <c r="I8" s="14">
        <v>100</v>
      </c>
      <c r="J8" s="63" t="s">
        <v>204</v>
      </c>
      <c r="K8" s="25"/>
    </row>
    <row r="9" spans="1:11" ht="15">
      <c r="A9" s="10">
        <v>6</v>
      </c>
      <c r="B9" s="11" t="s">
        <v>22</v>
      </c>
      <c r="C9" s="12"/>
      <c r="D9" s="11" t="s">
        <v>205</v>
      </c>
      <c r="E9" s="13" t="s">
        <v>21</v>
      </c>
      <c r="F9" s="61">
        <v>1</v>
      </c>
      <c r="G9" s="61">
        <v>1</v>
      </c>
      <c r="H9" s="62">
        <f t="shared" si="0"/>
        <v>2</v>
      </c>
      <c r="I9" s="14">
        <v>100</v>
      </c>
      <c r="J9" s="63" t="s">
        <v>204</v>
      </c>
      <c r="K9" s="25"/>
    </row>
    <row r="10" spans="1:11" ht="15">
      <c r="A10" s="10">
        <v>7</v>
      </c>
      <c r="B10" s="11" t="s">
        <v>206</v>
      </c>
      <c r="C10" s="12"/>
      <c r="D10" s="11" t="s">
        <v>203</v>
      </c>
      <c r="E10" s="13" t="s">
        <v>24</v>
      </c>
      <c r="F10" s="61">
        <v>1</v>
      </c>
      <c r="G10" s="61">
        <v>1</v>
      </c>
      <c r="H10" s="62">
        <f t="shared" si="0"/>
        <v>2</v>
      </c>
      <c r="I10" s="14">
        <v>100</v>
      </c>
      <c r="J10" s="63" t="s">
        <v>204</v>
      </c>
      <c r="K10" s="25"/>
    </row>
    <row r="11" spans="1:11" ht="15">
      <c r="A11" s="10">
        <v>8</v>
      </c>
      <c r="B11" s="11" t="s">
        <v>25</v>
      </c>
      <c r="C11" s="12"/>
      <c r="D11" s="11" t="s">
        <v>205</v>
      </c>
      <c r="E11" s="13" t="s">
        <v>24</v>
      </c>
      <c r="F11" s="61">
        <v>1</v>
      </c>
      <c r="G11" s="61">
        <v>1</v>
      </c>
      <c r="H11" s="62">
        <f t="shared" si="0"/>
        <v>2</v>
      </c>
      <c r="I11" s="14">
        <v>100</v>
      </c>
      <c r="J11" s="63" t="s">
        <v>204</v>
      </c>
      <c r="K11" s="25"/>
    </row>
    <row r="12" spans="1:11" ht="15">
      <c r="A12" s="10">
        <v>9</v>
      </c>
      <c r="B12" s="11" t="s">
        <v>26</v>
      </c>
      <c r="C12" s="12" t="s">
        <v>199</v>
      </c>
      <c r="D12" s="11" t="s">
        <v>205</v>
      </c>
      <c r="E12" s="13" t="s">
        <v>24</v>
      </c>
      <c r="F12" s="61">
        <v>1</v>
      </c>
      <c r="G12" s="61">
        <v>1</v>
      </c>
      <c r="H12" s="62">
        <f t="shared" si="0"/>
        <v>2</v>
      </c>
      <c r="I12" s="14">
        <v>100</v>
      </c>
      <c r="J12" s="63" t="s">
        <v>204</v>
      </c>
      <c r="K12" s="25"/>
    </row>
    <row r="13" spans="1:11" ht="15">
      <c r="A13" s="10">
        <v>10</v>
      </c>
      <c r="B13" s="11" t="s">
        <v>27</v>
      </c>
      <c r="C13" s="12" t="s">
        <v>199</v>
      </c>
      <c r="D13" s="11" t="s">
        <v>205</v>
      </c>
      <c r="E13" s="13" t="s">
        <v>24</v>
      </c>
      <c r="F13" s="61">
        <v>1</v>
      </c>
      <c r="G13" s="61">
        <v>1</v>
      </c>
      <c r="H13" s="62">
        <f t="shared" si="0"/>
        <v>2</v>
      </c>
      <c r="I13" s="14">
        <v>100</v>
      </c>
      <c r="J13" s="63" t="s">
        <v>204</v>
      </c>
      <c r="K13" s="25"/>
    </row>
    <row r="14" spans="1:11" ht="15">
      <c r="A14" s="10">
        <v>11</v>
      </c>
      <c r="B14" s="11" t="s">
        <v>28</v>
      </c>
      <c r="C14" s="12"/>
      <c r="D14" s="11" t="s">
        <v>205</v>
      </c>
      <c r="E14" s="13" t="s">
        <v>24</v>
      </c>
      <c r="F14" s="61">
        <v>1</v>
      </c>
      <c r="G14" s="61">
        <v>1</v>
      </c>
      <c r="H14" s="62">
        <f t="shared" si="0"/>
        <v>2</v>
      </c>
      <c r="I14" s="14">
        <v>100</v>
      </c>
      <c r="J14" s="63"/>
      <c r="K14" s="25"/>
    </row>
    <row r="15" spans="1:11" ht="15">
      <c r="A15" s="10">
        <v>12</v>
      </c>
      <c r="B15" s="11" t="s">
        <v>29</v>
      </c>
      <c r="C15" s="12"/>
      <c r="D15" s="11" t="s">
        <v>203</v>
      </c>
      <c r="E15" s="13" t="s">
        <v>24</v>
      </c>
      <c r="F15" s="61">
        <v>1</v>
      </c>
      <c r="G15" s="61">
        <v>1</v>
      </c>
      <c r="H15" s="62">
        <f t="shared" si="0"/>
        <v>2</v>
      </c>
      <c r="I15" s="14"/>
      <c r="J15" s="63" t="s">
        <v>204</v>
      </c>
      <c r="K15" s="25"/>
    </row>
    <row r="16" spans="1:11" ht="15">
      <c r="A16" s="10">
        <v>13</v>
      </c>
      <c r="B16" s="11" t="s">
        <v>30</v>
      </c>
      <c r="C16" s="12"/>
      <c r="D16" s="11" t="s">
        <v>205</v>
      </c>
      <c r="E16" s="13" t="s">
        <v>31</v>
      </c>
      <c r="F16" s="61">
        <v>1</v>
      </c>
      <c r="G16" s="61">
        <v>1</v>
      </c>
      <c r="H16" s="62">
        <f t="shared" si="0"/>
        <v>2</v>
      </c>
      <c r="I16" s="14" t="s">
        <v>16</v>
      </c>
      <c r="J16" s="63" t="s">
        <v>204</v>
      </c>
      <c r="K16" s="25"/>
    </row>
    <row r="17" spans="1:11" ht="15">
      <c r="A17" s="10">
        <v>14</v>
      </c>
      <c r="B17" s="11" t="s">
        <v>32</v>
      </c>
      <c r="C17" s="12"/>
      <c r="D17" s="11" t="s">
        <v>205</v>
      </c>
      <c r="E17" s="13" t="s">
        <v>31</v>
      </c>
      <c r="F17" s="61">
        <v>1</v>
      </c>
      <c r="G17" s="61">
        <v>1</v>
      </c>
      <c r="H17" s="62">
        <f t="shared" si="0"/>
        <v>2</v>
      </c>
      <c r="I17" s="14" t="s">
        <v>16</v>
      </c>
      <c r="J17" s="63" t="s">
        <v>204</v>
      </c>
      <c r="K17" s="25"/>
    </row>
    <row r="18" spans="1:11" ht="15">
      <c r="A18" s="10">
        <v>15</v>
      </c>
      <c r="B18" s="11" t="s">
        <v>109</v>
      </c>
      <c r="C18" s="12"/>
      <c r="D18" s="11" t="s">
        <v>205</v>
      </c>
      <c r="E18" s="13" t="s">
        <v>31</v>
      </c>
      <c r="F18" s="61">
        <v>1</v>
      </c>
      <c r="G18" s="61">
        <v>1</v>
      </c>
      <c r="H18" s="62">
        <f t="shared" si="0"/>
        <v>2</v>
      </c>
      <c r="I18" s="14" t="s">
        <v>16</v>
      </c>
      <c r="J18" s="63" t="s">
        <v>204</v>
      </c>
      <c r="K18" s="25"/>
    </row>
    <row r="19" spans="1:11" ht="15">
      <c r="A19" s="10">
        <v>16</v>
      </c>
      <c r="B19" s="11" t="s">
        <v>108</v>
      </c>
      <c r="C19" s="12"/>
      <c r="D19" s="11" t="s">
        <v>205</v>
      </c>
      <c r="E19" s="13" t="s">
        <v>31</v>
      </c>
      <c r="F19" s="61">
        <v>1</v>
      </c>
      <c r="G19" s="61">
        <v>1</v>
      </c>
      <c r="H19" s="62">
        <f t="shared" si="0"/>
        <v>2</v>
      </c>
      <c r="I19" s="14" t="s">
        <v>16</v>
      </c>
      <c r="J19" s="63" t="s">
        <v>204</v>
      </c>
      <c r="K19" s="25"/>
    </row>
    <row r="20" spans="1:11" ht="15">
      <c r="A20" s="10">
        <v>17</v>
      </c>
      <c r="B20" s="11" t="s">
        <v>207</v>
      </c>
      <c r="C20" s="12"/>
      <c r="D20" s="11" t="s">
        <v>203</v>
      </c>
      <c r="E20" s="13" t="s">
        <v>208</v>
      </c>
      <c r="F20" s="61">
        <v>1</v>
      </c>
      <c r="G20" s="61">
        <v>1</v>
      </c>
      <c r="H20" s="62">
        <f t="shared" si="0"/>
        <v>2</v>
      </c>
      <c r="I20" s="14"/>
      <c r="J20" s="63"/>
      <c r="K20" s="25"/>
    </row>
    <row r="21" spans="1:11" ht="15">
      <c r="A21" s="10">
        <v>18</v>
      </c>
      <c r="B21" s="11" t="s">
        <v>33</v>
      </c>
      <c r="C21" s="12"/>
      <c r="D21" s="11" t="s">
        <v>203</v>
      </c>
      <c r="E21" s="13" t="s">
        <v>34</v>
      </c>
      <c r="F21" s="61">
        <v>1</v>
      </c>
      <c r="G21" s="61">
        <v>1</v>
      </c>
      <c r="H21" s="62">
        <f t="shared" si="0"/>
        <v>2</v>
      </c>
      <c r="I21" s="14"/>
      <c r="J21" s="63"/>
      <c r="K21" s="25"/>
    </row>
    <row r="22" spans="1:11" ht="15">
      <c r="A22" s="10">
        <v>19</v>
      </c>
      <c r="B22" s="11" t="s">
        <v>35</v>
      </c>
      <c r="C22" s="12"/>
      <c r="D22" s="11" t="s">
        <v>203</v>
      </c>
      <c r="E22" s="13" t="s">
        <v>36</v>
      </c>
      <c r="F22" s="61">
        <v>1</v>
      </c>
      <c r="G22" s="61">
        <v>1</v>
      </c>
      <c r="H22" s="62">
        <f t="shared" si="0"/>
        <v>2</v>
      </c>
      <c r="I22" s="14">
        <v>100</v>
      </c>
      <c r="J22" s="63" t="s">
        <v>204</v>
      </c>
      <c r="K22" s="25"/>
    </row>
    <row r="23" spans="1:11" ht="15">
      <c r="A23" s="10">
        <v>20</v>
      </c>
      <c r="B23" s="11" t="s">
        <v>37</v>
      </c>
      <c r="C23" s="12"/>
      <c r="D23" s="11" t="s">
        <v>203</v>
      </c>
      <c r="E23" s="13" t="s">
        <v>38</v>
      </c>
      <c r="F23" s="61">
        <v>1</v>
      </c>
      <c r="G23" s="61">
        <v>1</v>
      </c>
      <c r="H23" s="62">
        <f t="shared" si="0"/>
        <v>2</v>
      </c>
      <c r="I23" s="14" t="s">
        <v>16</v>
      </c>
      <c r="J23" s="63" t="s">
        <v>204</v>
      </c>
      <c r="K23" s="25"/>
    </row>
    <row r="24" spans="1:11" ht="15">
      <c r="A24" s="10">
        <v>21</v>
      </c>
      <c r="B24" s="11" t="s">
        <v>39</v>
      </c>
      <c r="C24" s="12"/>
      <c r="D24" s="11" t="s">
        <v>203</v>
      </c>
      <c r="E24" s="13" t="s">
        <v>38</v>
      </c>
      <c r="F24" s="61">
        <v>1</v>
      </c>
      <c r="G24" s="61">
        <v>1</v>
      </c>
      <c r="H24" s="62">
        <f t="shared" si="0"/>
        <v>2</v>
      </c>
      <c r="I24" s="14" t="s">
        <v>16</v>
      </c>
      <c r="J24" s="63" t="s">
        <v>204</v>
      </c>
      <c r="K24" s="25"/>
    </row>
    <row r="25" spans="1:11" ht="15">
      <c r="A25" s="10">
        <v>22</v>
      </c>
      <c r="B25" s="11" t="s">
        <v>209</v>
      </c>
      <c r="C25" s="12" t="s">
        <v>199</v>
      </c>
      <c r="D25" s="11" t="s">
        <v>205</v>
      </c>
      <c r="E25" s="13" t="s">
        <v>41</v>
      </c>
      <c r="F25" s="61">
        <v>1</v>
      </c>
      <c r="G25" s="61">
        <v>1</v>
      </c>
      <c r="H25" s="62">
        <f t="shared" si="0"/>
        <v>2</v>
      </c>
      <c r="I25" s="14" t="s">
        <v>16</v>
      </c>
      <c r="J25" s="63" t="s">
        <v>204</v>
      </c>
      <c r="K25" s="25"/>
    </row>
    <row r="26" spans="1:11" ht="15">
      <c r="A26" s="10">
        <v>23</v>
      </c>
      <c r="B26" s="11" t="s">
        <v>40</v>
      </c>
      <c r="C26" s="12" t="s">
        <v>199</v>
      </c>
      <c r="D26" s="11" t="s">
        <v>205</v>
      </c>
      <c r="E26" s="13" t="s">
        <v>41</v>
      </c>
      <c r="F26" s="61">
        <v>1</v>
      </c>
      <c r="G26" s="61">
        <v>1</v>
      </c>
      <c r="H26" s="62">
        <f t="shared" si="0"/>
        <v>2</v>
      </c>
      <c r="I26" s="14" t="s">
        <v>16</v>
      </c>
      <c r="J26" s="63"/>
      <c r="K26" s="25"/>
    </row>
    <row r="27" spans="1:11" ht="15">
      <c r="A27" s="10">
        <v>24</v>
      </c>
      <c r="B27" s="11" t="s">
        <v>44</v>
      </c>
      <c r="C27" s="12"/>
      <c r="D27" s="11" t="s">
        <v>205</v>
      </c>
      <c r="E27" s="13" t="s">
        <v>45</v>
      </c>
      <c r="F27" s="61">
        <v>1</v>
      </c>
      <c r="G27" s="61">
        <v>1</v>
      </c>
      <c r="H27" s="62">
        <f t="shared" si="0"/>
        <v>2</v>
      </c>
      <c r="I27" s="14">
        <v>100</v>
      </c>
      <c r="J27" s="63" t="s">
        <v>204</v>
      </c>
      <c r="K27" s="25"/>
    </row>
    <row r="28" spans="1:11" ht="15">
      <c r="A28" s="10">
        <v>25</v>
      </c>
      <c r="B28" s="11" t="s">
        <v>210</v>
      </c>
      <c r="C28" s="12"/>
      <c r="D28" s="11" t="s">
        <v>205</v>
      </c>
      <c r="E28" s="13" t="s">
        <v>211</v>
      </c>
      <c r="F28" s="61">
        <v>1</v>
      </c>
      <c r="G28" s="61">
        <v>1</v>
      </c>
      <c r="H28" s="62">
        <f t="shared" si="0"/>
        <v>2</v>
      </c>
      <c r="I28" s="14"/>
      <c r="J28" s="63"/>
      <c r="K28" s="25"/>
    </row>
    <row r="29" spans="1:11" ht="15">
      <c r="A29" s="10">
        <v>26</v>
      </c>
      <c r="B29" s="11" t="s">
        <v>46</v>
      </c>
      <c r="C29" s="12"/>
      <c r="D29" s="11" t="s">
        <v>203</v>
      </c>
      <c r="E29" s="13" t="s">
        <v>47</v>
      </c>
      <c r="F29" s="61">
        <v>1</v>
      </c>
      <c r="G29" s="61"/>
      <c r="H29" s="62">
        <f t="shared" si="0"/>
        <v>1</v>
      </c>
      <c r="I29" s="14">
        <v>50</v>
      </c>
      <c r="J29" s="63" t="s">
        <v>204</v>
      </c>
      <c r="K29" s="25"/>
    </row>
    <row r="30" spans="1:11" ht="15">
      <c r="A30" s="10">
        <v>27</v>
      </c>
      <c r="B30" s="11" t="s">
        <v>50</v>
      </c>
      <c r="C30" s="12"/>
      <c r="D30" s="11" t="s">
        <v>203</v>
      </c>
      <c r="E30" s="13" t="s">
        <v>49</v>
      </c>
      <c r="F30" s="61">
        <v>1</v>
      </c>
      <c r="G30" s="61">
        <v>1</v>
      </c>
      <c r="H30" s="62">
        <f t="shared" si="0"/>
        <v>2</v>
      </c>
      <c r="I30" s="14"/>
      <c r="J30" s="63" t="s">
        <v>204</v>
      </c>
      <c r="K30" s="25"/>
    </row>
    <row r="31" spans="1:11" ht="15">
      <c r="A31" s="10">
        <v>28</v>
      </c>
      <c r="B31" s="11" t="s">
        <v>48</v>
      </c>
      <c r="C31" s="12"/>
      <c r="D31" s="11" t="s">
        <v>203</v>
      </c>
      <c r="E31" s="13" t="s">
        <v>49</v>
      </c>
      <c r="F31" s="61">
        <v>1</v>
      </c>
      <c r="G31" s="61">
        <v>1</v>
      </c>
      <c r="H31" s="62">
        <f t="shared" si="0"/>
        <v>2</v>
      </c>
      <c r="I31" s="14">
        <v>100</v>
      </c>
      <c r="J31" s="63" t="s">
        <v>204</v>
      </c>
      <c r="K31" s="25"/>
    </row>
    <row r="32" spans="1:11" ht="15">
      <c r="A32" s="10">
        <v>29</v>
      </c>
      <c r="B32" s="11" t="s">
        <v>51</v>
      </c>
      <c r="C32" s="12" t="s">
        <v>199</v>
      </c>
      <c r="D32" s="11" t="s">
        <v>205</v>
      </c>
      <c r="E32" s="13" t="s">
        <v>52</v>
      </c>
      <c r="F32" s="61">
        <v>1</v>
      </c>
      <c r="G32" s="61">
        <v>1</v>
      </c>
      <c r="H32" s="62">
        <f t="shared" si="0"/>
        <v>2</v>
      </c>
      <c r="I32" s="14">
        <v>100</v>
      </c>
      <c r="J32" s="63" t="s">
        <v>204</v>
      </c>
      <c r="K32" s="25"/>
    </row>
    <row r="33" spans="1:11" ht="15">
      <c r="A33" s="10">
        <v>30</v>
      </c>
      <c r="B33" s="11" t="s">
        <v>53</v>
      </c>
      <c r="C33" s="12" t="s">
        <v>199</v>
      </c>
      <c r="D33" s="11" t="s">
        <v>205</v>
      </c>
      <c r="E33" s="13" t="s">
        <v>54</v>
      </c>
      <c r="F33" s="61">
        <v>1</v>
      </c>
      <c r="G33" s="61">
        <v>1</v>
      </c>
      <c r="H33" s="62">
        <f t="shared" si="0"/>
        <v>2</v>
      </c>
      <c r="I33" s="14">
        <v>100</v>
      </c>
      <c r="J33" s="63" t="s">
        <v>204</v>
      </c>
      <c r="K33" s="25"/>
    </row>
    <row r="34" spans="1:11" ht="15">
      <c r="A34" s="10">
        <v>31</v>
      </c>
      <c r="B34" s="11" t="s">
        <v>55</v>
      </c>
      <c r="C34" s="12" t="s">
        <v>199</v>
      </c>
      <c r="D34" s="11" t="s">
        <v>205</v>
      </c>
      <c r="E34" s="13" t="s">
        <v>54</v>
      </c>
      <c r="F34" s="61">
        <v>1</v>
      </c>
      <c r="G34" s="61">
        <v>1</v>
      </c>
      <c r="H34" s="62">
        <f t="shared" si="0"/>
        <v>2</v>
      </c>
      <c r="I34" s="14">
        <v>100</v>
      </c>
      <c r="J34" s="63" t="s">
        <v>204</v>
      </c>
      <c r="K34" s="25"/>
    </row>
    <row r="35" spans="1:11" ht="15">
      <c r="A35" s="10">
        <v>32</v>
      </c>
      <c r="B35" s="11" t="s">
        <v>59</v>
      </c>
      <c r="C35" s="12"/>
      <c r="D35" s="11" t="s">
        <v>205</v>
      </c>
      <c r="E35" s="13" t="s">
        <v>58</v>
      </c>
      <c r="F35" s="61">
        <v>1</v>
      </c>
      <c r="G35" s="61">
        <v>1</v>
      </c>
      <c r="H35" s="62">
        <f t="shared" si="0"/>
        <v>2</v>
      </c>
      <c r="I35" s="14">
        <v>70</v>
      </c>
      <c r="J35" s="63" t="s">
        <v>204</v>
      </c>
      <c r="K35" s="25"/>
    </row>
    <row r="36" spans="1:11" ht="15">
      <c r="A36" s="10">
        <v>33</v>
      </c>
      <c r="B36" s="11" t="s">
        <v>60</v>
      </c>
      <c r="C36" s="12"/>
      <c r="D36" s="11" t="s">
        <v>205</v>
      </c>
      <c r="E36" s="13" t="s">
        <v>61</v>
      </c>
      <c r="F36" s="61">
        <v>1</v>
      </c>
      <c r="G36" s="61">
        <v>1</v>
      </c>
      <c r="H36" s="62">
        <f t="shared" ref="H36:H67" si="1">SUM(F36:G36)</f>
        <v>2</v>
      </c>
      <c r="I36" s="14">
        <v>100</v>
      </c>
      <c r="J36" s="63" t="s">
        <v>204</v>
      </c>
      <c r="K36" s="25"/>
    </row>
    <row r="37" spans="1:11" ht="15">
      <c r="A37" s="10">
        <v>34</v>
      </c>
      <c r="B37" s="11" t="s">
        <v>62</v>
      </c>
      <c r="C37" s="12"/>
      <c r="D37" s="11" t="s">
        <v>205</v>
      </c>
      <c r="E37" s="13" t="s">
        <v>63</v>
      </c>
      <c r="F37" s="61">
        <v>1</v>
      </c>
      <c r="G37" s="61">
        <v>1</v>
      </c>
      <c r="H37" s="62">
        <f t="shared" si="1"/>
        <v>2</v>
      </c>
      <c r="I37" s="14">
        <v>100</v>
      </c>
      <c r="J37" s="63" t="s">
        <v>204</v>
      </c>
      <c r="K37" s="25"/>
    </row>
    <row r="38" spans="1:11" ht="15">
      <c r="A38" s="10">
        <v>35</v>
      </c>
      <c r="B38" s="11" t="s">
        <v>64</v>
      </c>
      <c r="C38" s="12"/>
      <c r="D38" s="11" t="s">
        <v>203</v>
      </c>
      <c r="E38" s="13" t="s">
        <v>65</v>
      </c>
      <c r="F38" s="61">
        <v>1</v>
      </c>
      <c r="G38" s="61">
        <v>1</v>
      </c>
      <c r="H38" s="62">
        <f t="shared" si="1"/>
        <v>2</v>
      </c>
      <c r="I38" s="14">
        <v>100</v>
      </c>
      <c r="J38" s="63" t="s">
        <v>204</v>
      </c>
      <c r="K38" s="25"/>
    </row>
    <row r="39" spans="1:11" ht="15">
      <c r="A39" s="10">
        <v>36</v>
      </c>
      <c r="B39" s="11" t="s">
        <v>66</v>
      </c>
      <c r="C39" s="12"/>
      <c r="D39" s="11" t="s">
        <v>212</v>
      </c>
      <c r="E39" s="13" t="s">
        <v>67</v>
      </c>
      <c r="F39" s="61">
        <v>1</v>
      </c>
      <c r="G39" s="61">
        <v>1</v>
      </c>
      <c r="H39" s="62">
        <f t="shared" si="1"/>
        <v>2</v>
      </c>
      <c r="I39" s="14">
        <v>100</v>
      </c>
      <c r="J39" s="63" t="s">
        <v>204</v>
      </c>
      <c r="K39" s="25"/>
    </row>
    <row r="40" spans="1:11" ht="15">
      <c r="A40" s="10">
        <v>37</v>
      </c>
      <c r="B40" s="11" t="s">
        <v>68</v>
      </c>
      <c r="C40" s="12"/>
      <c r="D40" s="11" t="s">
        <v>212</v>
      </c>
      <c r="E40" s="13" t="s">
        <v>67</v>
      </c>
      <c r="F40" s="61">
        <v>1</v>
      </c>
      <c r="G40" s="61">
        <v>1</v>
      </c>
      <c r="H40" s="62">
        <f t="shared" si="1"/>
        <v>2</v>
      </c>
      <c r="I40" s="14" t="s">
        <v>16</v>
      </c>
      <c r="J40" s="63" t="s">
        <v>204</v>
      </c>
      <c r="K40" s="25"/>
    </row>
    <row r="41" spans="1:11" ht="15">
      <c r="A41" s="10">
        <v>38</v>
      </c>
      <c r="B41" s="11" t="s">
        <v>150</v>
      </c>
      <c r="C41" s="12"/>
      <c r="D41" s="11" t="s">
        <v>203</v>
      </c>
      <c r="E41" s="13" t="s">
        <v>151</v>
      </c>
      <c r="F41" s="61">
        <v>1</v>
      </c>
      <c r="G41" s="61">
        <v>1</v>
      </c>
      <c r="H41" s="62">
        <f t="shared" si="1"/>
        <v>2</v>
      </c>
      <c r="I41" s="14">
        <v>100</v>
      </c>
      <c r="J41" s="63" t="s">
        <v>204</v>
      </c>
      <c r="K41" s="25"/>
    </row>
    <row r="42" spans="1:11" ht="15">
      <c r="A42" s="10">
        <v>39</v>
      </c>
      <c r="B42" s="11" t="s">
        <v>206</v>
      </c>
      <c r="C42" s="12"/>
      <c r="D42" s="11" t="s">
        <v>203</v>
      </c>
      <c r="E42" s="13" t="s">
        <v>151</v>
      </c>
      <c r="F42" s="61">
        <v>1</v>
      </c>
      <c r="G42" s="61">
        <v>1</v>
      </c>
      <c r="H42" s="62">
        <f t="shared" si="1"/>
        <v>2</v>
      </c>
      <c r="I42" s="14">
        <v>100</v>
      </c>
      <c r="J42" s="63" t="s">
        <v>204</v>
      </c>
      <c r="K42" s="25"/>
    </row>
    <row r="43" spans="1:11" ht="15">
      <c r="A43" s="10">
        <v>40</v>
      </c>
      <c r="B43" s="11" t="s">
        <v>69</v>
      </c>
      <c r="C43" s="12"/>
      <c r="D43" s="11" t="s">
        <v>203</v>
      </c>
      <c r="E43" s="13" t="s">
        <v>70</v>
      </c>
      <c r="F43" s="61">
        <v>1</v>
      </c>
      <c r="G43" s="61">
        <v>1</v>
      </c>
      <c r="H43" s="62">
        <f t="shared" si="1"/>
        <v>2</v>
      </c>
      <c r="I43" s="14">
        <v>100</v>
      </c>
      <c r="J43" s="63" t="s">
        <v>204</v>
      </c>
      <c r="K43" s="25"/>
    </row>
    <row r="44" spans="1:11" ht="15">
      <c r="A44" s="10">
        <v>41</v>
      </c>
      <c r="B44" s="18" t="s">
        <v>152</v>
      </c>
      <c r="C44" s="12"/>
      <c r="D44" s="11" t="s">
        <v>205</v>
      </c>
      <c r="E44" s="13" t="s">
        <v>70</v>
      </c>
      <c r="F44" s="61">
        <v>1</v>
      </c>
      <c r="G44" s="61">
        <v>1</v>
      </c>
      <c r="H44" s="62">
        <f t="shared" si="1"/>
        <v>2</v>
      </c>
      <c r="I44" s="14">
        <v>100</v>
      </c>
      <c r="J44" s="63" t="s">
        <v>204</v>
      </c>
      <c r="K44" s="25"/>
    </row>
    <row r="45" spans="1:11" ht="15">
      <c r="A45" s="10">
        <v>42</v>
      </c>
      <c r="B45" s="18" t="s">
        <v>156</v>
      </c>
      <c r="C45" s="12"/>
      <c r="D45" s="11" t="s">
        <v>203</v>
      </c>
      <c r="E45" s="13" t="s">
        <v>213</v>
      </c>
      <c r="F45" s="61">
        <v>1</v>
      </c>
      <c r="G45" s="61">
        <v>1</v>
      </c>
      <c r="H45" s="62">
        <f t="shared" si="1"/>
        <v>2</v>
      </c>
      <c r="I45" s="14" t="s">
        <v>16</v>
      </c>
      <c r="J45" s="63" t="s">
        <v>204</v>
      </c>
      <c r="K45" s="25"/>
    </row>
    <row r="46" spans="1:11" ht="15">
      <c r="A46" s="10">
        <v>43</v>
      </c>
      <c r="B46" s="11" t="s">
        <v>71</v>
      </c>
      <c r="C46" s="12"/>
      <c r="D46" s="11" t="s">
        <v>203</v>
      </c>
      <c r="E46" s="17" t="s">
        <v>72</v>
      </c>
      <c r="F46" s="61">
        <v>1</v>
      </c>
      <c r="G46" s="61">
        <v>1</v>
      </c>
      <c r="H46" s="62">
        <f t="shared" si="1"/>
        <v>2</v>
      </c>
      <c r="I46" s="14">
        <v>100</v>
      </c>
      <c r="J46" s="63" t="s">
        <v>204</v>
      </c>
      <c r="K46" s="25"/>
    </row>
    <row r="47" spans="1:11" ht="15">
      <c r="A47" s="10">
        <v>44</v>
      </c>
      <c r="B47" s="11" t="s">
        <v>73</v>
      </c>
      <c r="C47" s="12"/>
      <c r="D47" s="11" t="s">
        <v>205</v>
      </c>
      <c r="E47" s="17" t="s">
        <v>74</v>
      </c>
      <c r="F47" s="61">
        <v>1</v>
      </c>
      <c r="G47" s="61">
        <v>1</v>
      </c>
      <c r="H47" s="62">
        <f t="shared" si="1"/>
        <v>2</v>
      </c>
      <c r="I47" s="14">
        <v>100</v>
      </c>
      <c r="J47" s="63" t="s">
        <v>204</v>
      </c>
      <c r="K47" s="25"/>
    </row>
    <row r="48" spans="1:11" ht="15">
      <c r="A48" s="10">
        <v>45</v>
      </c>
      <c r="B48" s="11" t="s">
        <v>75</v>
      </c>
      <c r="C48" s="12"/>
      <c r="D48" s="11" t="s">
        <v>205</v>
      </c>
      <c r="E48" s="13" t="s">
        <v>76</v>
      </c>
      <c r="F48" s="61">
        <v>1</v>
      </c>
      <c r="G48" s="61">
        <v>1</v>
      </c>
      <c r="H48" s="62">
        <f t="shared" si="1"/>
        <v>2</v>
      </c>
      <c r="I48" s="14">
        <v>100</v>
      </c>
      <c r="J48" s="63" t="s">
        <v>204</v>
      </c>
      <c r="K48" s="25"/>
    </row>
    <row r="49" spans="1:11" ht="15">
      <c r="A49" s="10">
        <v>46</v>
      </c>
      <c r="B49" s="11" t="s">
        <v>77</v>
      </c>
      <c r="C49" s="12"/>
      <c r="D49" s="11" t="s">
        <v>205</v>
      </c>
      <c r="E49" s="13" t="s">
        <v>76</v>
      </c>
      <c r="F49" s="61">
        <v>1</v>
      </c>
      <c r="G49" s="61">
        <v>1</v>
      </c>
      <c r="H49" s="62">
        <f t="shared" si="1"/>
        <v>2</v>
      </c>
      <c r="I49" s="14">
        <v>100</v>
      </c>
      <c r="J49" s="63" t="s">
        <v>204</v>
      </c>
      <c r="K49" s="25"/>
    </row>
    <row r="50" spans="1:11" ht="15">
      <c r="A50" s="10">
        <v>47</v>
      </c>
      <c r="B50" s="11" t="s">
        <v>78</v>
      </c>
      <c r="C50" s="12"/>
      <c r="D50" s="11" t="s">
        <v>203</v>
      </c>
      <c r="E50" s="17" t="s">
        <v>79</v>
      </c>
      <c r="F50" s="61">
        <v>1</v>
      </c>
      <c r="G50" s="61">
        <v>1</v>
      </c>
      <c r="H50" s="62">
        <f t="shared" si="1"/>
        <v>2</v>
      </c>
      <c r="I50" s="14">
        <v>100</v>
      </c>
      <c r="J50" s="63" t="s">
        <v>204</v>
      </c>
      <c r="K50" s="25"/>
    </row>
    <row r="51" spans="1:11" ht="15">
      <c r="A51" s="10">
        <v>48</v>
      </c>
      <c r="B51" s="11" t="s">
        <v>80</v>
      </c>
      <c r="C51" s="12"/>
      <c r="D51" s="11" t="s">
        <v>203</v>
      </c>
      <c r="E51" s="17" t="s">
        <v>81</v>
      </c>
      <c r="F51" s="61">
        <v>1</v>
      </c>
      <c r="G51" s="61">
        <v>1</v>
      </c>
      <c r="H51" s="62">
        <f t="shared" si="1"/>
        <v>2</v>
      </c>
      <c r="I51" s="14">
        <v>100</v>
      </c>
      <c r="J51" s="63" t="s">
        <v>204</v>
      </c>
      <c r="K51" s="25"/>
    </row>
    <row r="52" spans="1:11" ht="15">
      <c r="A52" s="10">
        <v>49</v>
      </c>
      <c r="B52" s="11" t="s">
        <v>82</v>
      </c>
      <c r="C52" s="12"/>
      <c r="D52" s="11" t="s">
        <v>203</v>
      </c>
      <c r="E52" s="17" t="s">
        <v>81</v>
      </c>
      <c r="F52" s="61">
        <v>1</v>
      </c>
      <c r="G52" s="61">
        <v>1</v>
      </c>
      <c r="H52" s="62">
        <f t="shared" si="1"/>
        <v>2</v>
      </c>
      <c r="I52" s="14">
        <v>100</v>
      </c>
      <c r="J52" s="63" t="s">
        <v>204</v>
      </c>
      <c r="K52" s="25"/>
    </row>
    <row r="53" spans="1:11" ht="15">
      <c r="A53" s="10">
        <v>50</v>
      </c>
      <c r="B53" s="11" t="s">
        <v>113</v>
      </c>
      <c r="C53" s="12"/>
      <c r="D53" s="11" t="s">
        <v>203</v>
      </c>
      <c r="E53" s="17" t="s">
        <v>114</v>
      </c>
      <c r="F53" s="61">
        <v>1</v>
      </c>
      <c r="G53" s="61">
        <v>1</v>
      </c>
      <c r="H53" s="62">
        <f t="shared" si="1"/>
        <v>2</v>
      </c>
      <c r="I53" s="14">
        <v>100</v>
      </c>
      <c r="J53" s="63" t="s">
        <v>204</v>
      </c>
      <c r="K53" s="25"/>
    </row>
    <row r="54" spans="1:11" ht="15">
      <c r="A54" s="10">
        <v>51</v>
      </c>
      <c r="B54" s="11" t="s">
        <v>91</v>
      </c>
      <c r="C54" s="12"/>
      <c r="D54" s="11" t="s">
        <v>203</v>
      </c>
      <c r="E54" s="17" t="s">
        <v>92</v>
      </c>
      <c r="F54" s="61">
        <v>1</v>
      </c>
      <c r="G54" s="61">
        <v>0</v>
      </c>
      <c r="H54" s="62">
        <f t="shared" si="1"/>
        <v>1</v>
      </c>
      <c r="I54" s="14"/>
      <c r="J54" s="63" t="s">
        <v>204</v>
      </c>
      <c r="K54" s="25"/>
    </row>
    <row r="55" spans="1:11" ht="15">
      <c r="A55" s="10">
        <v>52</v>
      </c>
      <c r="B55" s="11" t="s">
        <v>118</v>
      </c>
      <c r="C55" s="12"/>
      <c r="D55" s="11" t="s">
        <v>205</v>
      </c>
      <c r="E55" s="17" t="s">
        <v>119</v>
      </c>
      <c r="F55" s="61">
        <v>1</v>
      </c>
      <c r="G55" s="61">
        <v>1</v>
      </c>
      <c r="H55" s="62">
        <f t="shared" si="1"/>
        <v>2</v>
      </c>
      <c r="I55" s="14" t="s">
        <v>16</v>
      </c>
      <c r="J55" s="63" t="s">
        <v>204</v>
      </c>
      <c r="K55" s="25"/>
    </row>
    <row r="56" spans="1:11" ht="15">
      <c r="A56" s="10">
        <v>53</v>
      </c>
      <c r="B56" s="11" t="s">
        <v>214</v>
      </c>
      <c r="C56" s="12"/>
      <c r="D56" s="11" t="s">
        <v>205</v>
      </c>
      <c r="E56" s="17" t="s">
        <v>119</v>
      </c>
      <c r="F56" s="61">
        <v>1</v>
      </c>
      <c r="G56" s="61">
        <v>1</v>
      </c>
      <c r="H56" s="62">
        <f t="shared" si="1"/>
        <v>2</v>
      </c>
      <c r="I56" s="14" t="s">
        <v>16</v>
      </c>
      <c r="J56" s="63" t="s">
        <v>204</v>
      </c>
      <c r="K56" s="25"/>
    </row>
    <row r="57" spans="1:11" ht="15">
      <c r="A57" s="10">
        <v>54</v>
      </c>
      <c r="B57" s="11" t="s">
        <v>121</v>
      </c>
      <c r="C57" s="12"/>
      <c r="D57" s="11" t="s">
        <v>203</v>
      </c>
      <c r="E57" s="17" t="s">
        <v>215</v>
      </c>
      <c r="F57" s="61">
        <v>1</v>
      </c>
      <c r="G57" s="61">
        <v>1</v>
      </c>
      <c r="H57" s="62">
        <f t="shared" si="1"/>
        <v>2</v>
      </c>
      <c r="I57" s="14">
        <v>100</v>
      </c>
      <c r="J57" s="63" t="s">
        <v>204</v>
      </c>
      <c r="K57" s="25"/>
    </row>
    <row r="58" spans="1:11" ht="15">
      <c r="A58" s="10">
        <v>55</v>
      </c>
      <c r="B58" s="11" t="s">
        <v>143</v>
      </c>
      <c r="C58" s="12"/>
      <c r="D58" s="11" t="s">
        <v>203</v>
      </c>
      <c r="E58" s="17" t="s">
        <v>144</v>
      </c>
      <c r="F58" s="61">
        <v>1</v>
      </c>
      <c r="G58" s="61">
        <v>1</v>
      </c>
      <c r="H58" s="62">
        <f t="shared" si="1"/>
        <v>2</v>
      </c>
      <c r="I58" s="14">
        <v>100</v>
      </c>
      <c r="J58" s="63" t="s">
        <v>204</v>
      </c>
      <c r="K58" s="25"/>
    </row>
    <row r="59" spans="1:11" ht="15">
      <c r="A59" s="10">
        <v>56</v>
      </c>
      <c r="B59" s="11" t="s">
        <v>216</v>
      </c>
      <c r="C59" s="12"/>
      <c r="D59" s="11" t="s">
        <v>203</v>
      </c>
      <c r="E59" s="17" t="s">
        <v>144</v>
      </c>
      <c r="F59" s="61">
        <v>1</v>
      </c>
      <c r="G59" s="61">
        <v>1</v>
      </c>
      <c r="H59" s="62">
        <f t="shared" si="1"/>
        <v>2</v>
      </c>
      <c r="I59" s="14">
        <v>100</v>
      </c>
      <c r="J59" s="63"/>
      <c r="K59" s="25"/>
    </row>
    <row r="60" spans="1:11" ht="15">
      <c r="A60" s="10">
        <v>57</v>
      </c>
      <c r="B60" s="11" t="s">
        <v>129</v>
      </c>
      <c r="C60" s="12"/>
      <c r="D60" s="11" t="s">
        <v>203</v>
      </c>
      <c r="E60" s="17" t="s">
        <v>130</v>
      </c>
      <c r="F60" s="61">
        <v>1</v>
      </c>
      <c r="G60" s="61">
        <v>1</v>
      </c>
      <c r="H60" s="62">
        <f t="shared" si="1"/>
        <v>2</v>
      </c>
      <c r="I60" s="14">
        <v>100</v>
      </c>
      <c r="J60" s="63" t="s">
        <v>204</v>
      </c>
      <c r="K60" s="25"/>
    </row>
    <row r="61" spans="1:11" ht="15">
      <c r="A61" s="10">
        <v>58</v>
      </c>
      <c r="B61" s="11" t="s">
        <v>133</v>
      </c>
      <c r="C61" s="12"/>
      <c r="D61" s="11" t="s">
        <v>205</v>
      </c>
      <c r="E61" s="17" t="s">
        <v>130</v>
      </c>
      <c r="F61" s="64">
        <v>1</v>
      </c>
      <c r="G61" s="64">
        <v>1</v>
      </c>
      <c r="H61" s="62">
        <f t="shared" si="1"/>
        <v>2</v>
      </c>
      <c r="I61" s="14">
        <v>200</v>
      </c>
      <c r="J61" s="63" t="s">
        <v>204</v>
      </c>
      <c r="K61" s="25"/>
    </row>
    <row r="62" spans="1:11" ht="15">
      <c r="A62" s="10">
        <v>59</v>
      </c>
      <c r="B62" s="11" t="s">
        <v>111</v>
      </c>
      <c r="C62" s="12"/>
      <c r="D62" s="11" t="s">
        <v>203</v>
      </c>
      <c r="E62" s="17" t="s">
        <v>112</v>
      </c>
      <c r="F62" s="64">
        <v>1</v>
      </c>
      <c r="G62" s="64">
        <v>1</v>
      </c>
      <c r="H62" s="62">
        <f t="shared" si="1"/>
        <v>2</v>
      </c>
      <c r="I62" s="14">
        <v>100</v>
      </c>
      <c r="J62" s="63"/>
      <c r="K62" s="25"/>
    </row>
    <row r="63" spans="1:11" ht="15">
      <c r="A63" s="10">
        <v>60</v>
      </c>
      <c r="B63" s="11" t="s">
        <v>217</v>
      </c>
      <c r="C63" s="11"/>
      <c r="D63" s="11" t="s">
        <v>203</v>
      </c>
      <c r="E63" s="17" t="s">
        <v>215</v>
      </c>
      <c r="F63" s="64">
        <v>2</v>
      </c>
      <c r="G63" s="64">
        <v>2</v>
      </c>
      <c r="H63" s="62">
        <f t="shared" si="1"/>
        <v>4</v>
      </c>
      <c r="I63" s="14">
        <v>200</v>
      </c>
      <c r="J63" s="63" t="s">
        <v>204</v>
      </c>
      <c r="K63" s="25"/>
    </row>
    <row r="64" spans="1:11" ht="15">
      <c r="A64" s="10">
        <v>61</v>
      </c>
      <c r="B64" s="11" t="s">
        <v>218</v>
      </c>
      <c r="C64" s="11"/>
      <c r="D64" s="11" t="s">
        <v>203</v>
      </c>
      <c r="E64" s="17" t="s">
        <v>215</v>
      </c>
      <c r="F64" s="64">
        <v>2</v>
      </c>
      <c r="G64" s="64">
        <v>2</v>
      </c>
      <c r="H64" s="62">
        <f t="shared" si="1"/>
        <v>4</v>
      </c>
      <c r="I64" s="14">
        <v>100</v>
      </c>
      <c r="J64" s="63" t="s">
        <v>204</v>
      </c>
      <c r="K64" s="25"/>
    </row>
    <row r="65" spans="1:11" ht="15">
      <c r="A65" s="10">
        <v>62</v>
      </c>
      <c r="B65" s="11" t="s">
        <v>219</v>
      </c>
      <c r="C65" s="11" t="s">
        <v>199</v>
      </c>
      <c r="D65" s="11" t="s">
        <v>205</v>
      </c>
      <c r="E65" s="17" t="s">
        <v>220</v>
      </c>
      <c r="F65" s="64">
        <v>2</v>
      </c>
      <c r="G65" s="64">
        <v>2</v>
      </c>
      <c r="H65" s="62">
        <f t="shared" si="1"/>
        <v>4</v>
      </c>
      <c r="I65" s="14">
        <v>100</v>
      </c>
      <c r="J65" s="63" t="s">
        <v>204</v>
      </c>
      <c r="K65" s="25"/>
    </row>
    <row r="66" spans="1:11" ht="15">
      <c r="A66" s="10">
        <v>63</v>
      </c>
      <c r="B66" s="11" t="s">
        <v>182</v>
      </c>
      <c r="C66" s="12"/>
      <c r="D66" s="11" t="s">
        <v>203</v>
      </c>
      <c r="E66" s="17" t="s">
        <v>183</v>
      </c>
      <c r="F66" s="64">
        <v>1</v>
      </c>
      <c r="G66" s="64"/>
      <c r="H66" s="62">
        <f t="shared" si="1"/>
        <v>1</v>
      </c>
      <c r="I66" s="14"/>
      <c r="J66" s="63"/>
      <c r="K66" s="25"/>
    </row>
    <row r="67" spans="1:11" ht="15">
      <c r="A67" s="10">
        <v>64</v>
      </c>
      <c r="B67" s="11" t="s">
        <v>154</v>
      </c>
      <c r="C67" s="12"/>
      <c r="D67" s="11" t="s">
        <v>203</v>
      </c>
      <c r="E67" s="65" t="s">
        <v>155</v>
      </c>
      <c r="F67" s="64">
        <v>1</v>
      </c>
      <c r="G67" s="64">
        <v>1</v>
      </c>
      <c r="H67" s="66">
        <f t="shared" si="1"/>
        <v>2</v>
      </c>
      <c r="I67" s="67"/>
      <c r="J67" s="68"/>
      <c r="K67" s="25"/>
    </row>
    <row r="68" spans="1:11" ht="15">
      <c r="A68" s="10">
        <v>65</v>
      </c>
      <c r="B68" s="11" t="s">
        <v>221</v>
      </c>
      <c r="C68" s="12"/>
      <c r="D68" s="11" t="s">
        <v>205</v>
      </c>
      <c r="E68" s="65" t="s">
        <v>155</v>
      </c>
      <c r="F68" s="64">
        <v>2</v>
      </c>
      <c r="G68" s="64"/>
      <c r="H68" s="66">
        <f t="shared" ref="H68:H99" si="2">SUM(F68:G68)</f>
        <v>2</v>
      </c>
      <c r="I68" s="67"/>
      <c r="J68" s="68"/>
      <c r="K68" s="25"/>
    </row>
    <row r="69" spans="1:11" ht="15">
      <c r="A69" s="10">
        <v>66</v>
      </c>
      <c r="B69" s="11" t="s">
        <v>222</v>
      </c>
      <c r="C69" s="12"/>
      <c r="D69" s="11" t="s">
        <v>203</v>
      </c>
      <c r="E69" s="65" t="s">
        <v>159</v>
      </c>
      <c r="F69" s="64">
        <v>1</v>
      </c>
      <c r="G69" s="64"/>
      <c r="H69" s="66">
        <f t="shared" si="2"/>
        <v>1</v>
      </c>
      <c r="I69" s="67"/>
      <c r="J69" s="68"/>
      <c r="K69" s="25"/>
    </row>
    <row r="70" spans="1:11" ht="15">
      <c r="A70" s="10">
        <v>67</v>
      </c>
      <c r="B70" s="11" t="s">
        <v>223</v>
      </c>
      <c r="C70" s="12"/>
      <c r="D70" s="11" t="s">
        <v>203</v>
      </c>
      <c r="E70" s="65" t="s">
        <v>159</v>
      </c>
      <c r="F70" s="64">
        <v>1</v>
      </c>
      <c r="G70" s="64"/>
      <c r="H70" s="66">
        <f t="shared" si="2"/>
        <v>1</v>
      </c>
      <c r="I70" s="67"/>
      <c r="J70" s="68"/>
      <c r="K70" s="25"/>
    </row>
    <row r="71" spans="1:11" ht="15">
      <c r="A71" s="10">
        <v>68</v>
      </c>
      <c r="B71" s="11" t="s">
        <v>224</v>
      </c>
      <c r="C71" s="12"/>
      <c r="D71" s="11" t="s">
        <v>203</v>
      </c>
      <c r="E71" s="65" t="s">
        <v>181</v>
      </c>
      <c r="F71" s="64">
        <v>2</v>
      </c>
      <c r="G71" s="64"/>
      <c r="H71" s="66">
        <f t="shared" si="2"/>
        <v>2</v>
      </c>
      <c r="I71" s="67"/>
      <c r="J71" s="68"/>
      <c r="K71" s="25"/>
    </row>
    <row r="72" spans="1:11" ht="15">
      <c r="A72" s="10">
        <v>69</v>
      </c>
      <c r="B72" s="11"/>
      <c r="C72" s="12" t="s">
        <v>199</v>
      </c>
      <c r="D72" s="11" t="s">
        <v>205</v>
      </c>
      <c r="E72" s="65" t="s">
        <v>54</v>
      </c>
      <c r="F72" s="64">
        <v>1</v>
      </c>
      <c r="G72" s="64"/>
      <c r="H72" s="66">
        <f t="shared" si="2"/>
        <v>1</v>
      </c>
      <c r="I72" s="67"/>
      <c r="J72" s="68"/>
      <c r="K72" s="25"/>
    </row>
    <row r="73" spans="1:11" ht="16.2" thickBot="1">
      <c r="A73" s="81" t="s">
        <v>225</v>
      </c>
      <c r="B73" s="82"/>
      <c r="C73" s="82"/>
      <c r="D73" s="82"/>
      <c r="E73" s="83"/>
      <c r="F73" s="71">
        <f>SUM(F4:F72)</f>
        <v>74</v>
      </c>
      <c r="G73" s="71">
        <f>SUM(G4:G72)</f>
        <v>64</v>
      </c>
      <c r="H73" s="72">
        <f t="shared" si="2"/>
        <v>138</v>
      </c>
      <c r="I73" s="73">
        <f>SUM(I4:I66)</f>
        <v>4520</v>
      </c>
      <c r="J73" s="74"/>
      <c r="K73" s="25"/>
    </row>
    <row r="74" spans="1:11" ht="15">
      <c r="A74" s="22"/>
      <c r="B74" s="75"/>
      <c r="C74" s="22"/>
      <c r="D74" s="75"/>
      <c r="E74" s="25"/>
      <c r="F74" s="22"/>
      <c r="G74" s="22"/>
      <c r="H74" s="22"/>
      <c r="I74" s="22"/>
      <c r="J74" s="22"/>
      <c r="K74" s="25"/>
    </row>
  </sheetData>
  <mergeCells count="11">
    <mergeCell ref="A73:E73"/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0C77-5418-4BDC-B35E-9DF1FE468A14}">
  <dimension ref="A1:I83"/>
  <sheetViews>
    <sheetView workbookViewId="0">
      <selection activeCell="E16" sqref="E16"/>
    </sheetView>
  </sheetViews>
  <sheetFormatPr defaultRowHeight="14.4"/>
  <cols>
    <col min="2" max="2" width="75.21875" customWidth="1"/>
    <col min="3" max="3" width="16.88671875" customWidth="1"/>
    <col min="4" max="4" width="22.109375" customWidth="1"/>
    <col min="5" max="5" width="26.21875" customWidth="1"/>
    <col min="6" max="8" width="20.77734375" customWidth="1"/>
  </cols>
  <sheetData>
    <row r="1" spans="1:9" ht="15.6">
      <c r="A1" s="1"/>
      <c r="B1" s="1"/>
      <c r="C1" s="1"/>
      <c r="D1" s="1"/>
      <c r="E1" s="1"/>
      <c r="F1" s="1"/>
      <c r="G1" s="2"/>
      <c r="H1" s="3"/>
      <c r="I1" s="1"/>
    </row>
    <row r="2" spans="1:9" ht="17.399999999999999">
      <c r="A2" s="126" t="s">
        <v>230</v>
      </c>
      <c r="B2" s="127"/>
      <c r="C2" s="127"/>
      <c r="D2" s="127"/>
      <c r="E2" s="127"/>
      <c r="F2" s="127"/>
      <c r="G2" s="127"/>
      <c r="H2" s="128"/>
      <c r="I2" s="1"/>
    </row>
    <row r="3" spans="1:9">
      <c r="A3" s="86" t="s">
        <v>1</v>
      </c>
      <c r="B3" s="88" t="s">
        <v>2</v>
      </c>
      <c r="C3" s="88" t="s">
        <v>199</v>
      </c>
      <c r="D3" s="90" t="s">
        <v>200</v>
      </c>
      <c r="E3" s="88" t="s">
        <v>4</v>
      </c>
      <c r="F3" s="129" t="s">
        <v>247</v>
      </c>
      <c r="G3" s="129" t="s">
        <v>248</v>
      </c>
      <c r="H3" s="129" t="s">
        <v>249</v>
      </c>
      <c r="I3" s="1"/>
    </row>
    <row r="4" spans="1:9" ht="48.6" customHeight="1">
      <c r="A4" s="87"/>
      <c r="B4" s="89"/>
      <c r="C4" s="89"/>
      <c r="D4" s="91"/>
      <c r="E4" s="89"/>
      <c r="F4" s="89"/>
      <c r="G4" s="89"/>
      <c r="H4" s="89"/>
      <c r="I4" s="1"/>
    </row>
    <row r="5" spans="1:9" ht="15.6">
      <c r="A5" s="10">
        <v>1</v>
      </c>
      <c r="B5" s="11" t="s">
        <v>14</v>
      </c>
      <c r="C5" s="12"/>
      <c r="D5" s="11" t="s">
        <v>203</v>
      </c>
      <c r="E5" s="13" t="s">
        <v>15</v>
      </c>
      <c r="F5" s="61">
        <v>2</v>
      </c>
      <c r="G5" s="76">
        <v>5</v>
      </c>
      <c r="H5" s="76">
        <f t="shared" ref="H5:H36" si="0">SUM(F5:G5)</f>
        <v>7</v>
      </c>
      <c r="I5" s="1"/>
    </row>
    <row r="6" spans="1:9" ht="15.6">
      <c r="A6" s="10">
        <v>2</v>
      </c>
      <c r="B6" s="11" t="s">
        <v>17</v>
      </c>
      <c r="C6" s="12"/>
      <c r="D6" s="11" t="s">
        <v>203</v>
      </c>
      <c r="E6" s="13" t="s">
        <v>15</v>
      </c>
      <c r="F6" s="61">
        <v>1</v>
      </c>
      <c r="G6" s="76">
        <v>1</v>
      </c>
      <c r="H6" s="76">
        <f t="shared" si="0"/>
        <v>2</v>
      </c>
      <c r="I6" s="1"/>
    </row>
    <row r="7" spans="1:9" ht="15.6">
      <c r="A7" s="10">
        <v>3</v>
      </c>
      <c r="B7" s="11" t="s">
        <v>18</v>
      </c>
      <c r="C7" s="12"/>
      <c r="D7" s="11" t="s">
        <v>203</v>
      </c>
      <c r="E7" s="13" t="s">
        <v>15</v>
      </c>
      <c r="F7" s="61">
        <v>2</v>
      </c>
      <c r="G7" s="76">
        <v>2</v>
      </c>
      <c r="H7" s="76">
        <f t="shared" si="0"/>
        <v>4</v>
      </c>
      <c r="I7" s="1"/>
    </row>
    <row r="8" spans="1:9" ht="15.6">
      <c r="A8" s="10">
        <v>4</v>
      </c>
      <c r="B8" s="11" t="s">
        <v>19</v>
      </c>
      <c r="C8" s="12"/>
      <c r="D8" s="11" t="s">
        <v>203</v>
      </c>
      <c r="E8" s="13" t="s">
        <v>15</v>
      </c>
      <c r="F8" s="61">
        <v>1</v>
      </c>
      <c r="G8" s="76">
        <v>1</v>
      </c>
      <c r="H8" s="76">
        <f t="shared" si="0"/>
        <v>2</v>
      </c>
      <c r="I8" s="1"/>
    </row>
    <row r="9" spans="1:9" ht="15.6">
      <c r="A9" s="10">
        <v>5</v>
      </c>
      <c r="B9" s="11" t="s">
        <v>20</v>
      </c>
      <c r="C9" s="12"/>
      <c r="D9" s="11" t="s">
        <v>205</v>
      </c>
      <c r="E9" s="13" t="s">
        <v>21</v>
      </c>
      <c r="F9" s="61">
        <v>2</v>
      </c>
      <c r="G9" s="76">
        <v>1</v>
      </c>
      <c r="H9" s="76">
        <f t="shared" si="0"/>
        <v>3</v>
      </c>
      <c r="I9" s="1"/>
    </row>
    <row r="10" spans="1:9" ht="15.6">
      <c r="A10" s="10">
        <v>6</v>
      </c>
      <c r="B10" s="11" t="s">
        <v>22</v>
      </c>
      <c r="C10" s="12"/>
      <c r="D10" s="11" t="s">
        <v>205</v>
      </c>
      <c r="E10" s="13" t="s">
        <v>21</v>
      </c>
      <c r="F10" s="61">
        <v>2</v>
      </c>
      <c r="G10" s="76">
        <v>3</v>
      </c>
      <c r="H10" s="76">
        <f t="shared" si="0"/>
        <v>5</v>
      </c>
      <c r="I10" s="1"/>
    </row>
    <row r="11" spans="1:9" ht="15.6">
      <c r="A11" s="10">
        <v>7</v>
      </c>
      <c r="B11" s="11" t="s">
        <v>105</v>
      </c>
      <c r="C11" s="12"/>
      <c r="D11" s="11" t="s">
        <v>205</v>
      </c>
      <c r="E11" s="13" t="s">
        <v>21</v>
      </c>
      <c r="F11" s="61">
        <v>2</v>
      </c>
      <c r="G11" s="76">
        <v>3</v>
      </c>
      <c r="H11" s="76">
        <f t="shared" si="0"/>
        <v>5</v>
      </c>
      <c r="I11" s="1"/>
    </row>
    <row r="12" spans="1:9" ht="15.6">
      <c r="A12" s="10">
        <v>8</v>
      </c>
      <c r="B12" s="11" t="s">
        <v>23</v>
      </c>
      <c r="C12" s="12"/>
      <c r="D12" s="11" t="s">
        <v>203</v>
      </c>
      <c r="E12" s="13" t="s">
        <v>24</v>
      </c>
      <c r="F12" s="61"/>
      <c r="G12" s="76">
        <v>4</v>
      </c>
      <c r="H12" s="76">
        <f t="shared" si="0"/>
        <v>4</v>
      </c>
      <c r="I12" s="1"/>
    </row>
    <row r="13" spans="1:9" ht="15.6">
      <c r="A13" s="10">
        <v>9</v>
      </c>
      <c r="B13" s="11" t="s">
        <v>206</v>
      </c>
      <c r="C13" s="12"/>
      <c r="D13" s="11" t="s">
        <v>203</v>
      </c>
      <c r="E13" s="13" t="s">
        <v>24</v>
      </c>
      <c r="F13" s="61">
        <v>2</v>
      </c>
      <c r="G13" s="76">
        <v>4</v>
      </c>
      <c r="H13" s="76">
        <f t="shared" si="0"/>
        <v>6</v>
      </c>
      <c r="I13" s="1"/>
    </row>
    <row r="14" spans="1:9" ht="15.6">
      <c r="A14" s="10">
        <v>10</v>
      </c>
      <c r="B14" s="11" t="s">
        <v>25</v>
      </c>
      <c r="C14" s="12"/>
      <c r="D14" s="11" t="s">
        <v>205</v>
      </c>
      <c r="E14" s="13" t="s">
        <v>24</v>
      </c>
      <c r="F14" s="61">
        <v>2</v>
      </c>
      <c r="G14" s="76">
        <v>4</v>
      </c>
      <c r="H14" s="76">
        <f t="shared" si="0"/>
        <v>6</v>
      </c>
      <c r="I14" s="1"/>
    </row>
    <row r="15" spans="1:9" ht="15.6">
      <c r="A15" s="10">
        <v>11</v>
      </c>
      <c r="B15" s="11" t="s">
        <v>26</v>
      </c>
      <c r="C15" s="12" t="s">
        <v>199</v>
      </c>
      <c r="D15" s="11" t="s">
        <v>205</v>
      </c>
      <c r="E15" s="13" t="s">
        <v>24</v>
      </c>
      <c r="F15" s="61">
        <v>2</v>
      </c>
      <c r="G15" s="76">
        <v>4</v>
      </c>
      <c r="H15" s="76">
        <f t="shared" si="0"/>
        <v>6</v>
      </c>
      <c r="I15" s="1"/>
    </row>
    <row r="16" spans="1:9" ht="15.6">
      <c r="A16" s="10">
        <v>12</v>
      </c>
      <c r="B16" s="11" t="s">
        <v>27</v>
      </c>
      <c r="C16" s="12" t="s">
        <v>199</v>
      </c>
      <c r="D16" s="11" t="s">
        <v>205</v>
      </c>
      <c r="E16" s="13" t="s">
        <v>24</v>
      </c>
      <c r="F16" s="61">
        <v>2</v>
      </c>
      <c r="G16" s="76">
        <v>2</v>
      </c>
      <c r="H16" s="76">
        <f t="shared" si="0"/>
        <v>4</v>
      </c>
      <c r="I16" s="1"/>
    </row>
    <row r="17" spans="1:9" ht="15.6">
      <c r="A17" s="10">
        <v>13</v>
      </c>
      <c r="B17" s="11" t="s">
        <v>28</v>
      </c>
      <c r="C17" s="12"/>
      <c r="D17" s="11" t="s">
        <v>205</v>
      </c>
      <c r="E17" s="13" t="s">
        <v>24</v>
      </c>
      <c r="F17" s="61">
        <v>2</v>
      </c>
      <c r="G17" s="76">
        <v>4</v>
      </c>
      <c r="H17" s="76">
        <f t="shared" si="0"/>
        <v>6</v>
      </c>
      <c r="I17" s="1"/>
    </row>
    <row r="18" spans="1:9" ht="15.6">
      <c r="A18" s="10">
        <v>14</v>
      </c>
      <c r="B18" s="11" t="s">
        <v>29</v>
      </c>
      <c r="C18" s="12"/>
      <c r="D18" s="11" t="s">
        <v>203</v>
      </c>
      <c r="E18" s="13" t="s">
        <v>24</v>
      </c>
      <c r="F18" s="61">
        <v>2</v>
      </c>
      <c r="G18" s="76">
        <v>4</v>
      </c>
      <c r="H18" s="76">
        <f t="shared" si="0"/>
        <v>6</v>
      </c>
      <c r="I18" s="1"/>
    </row>
    <row r="19" spans="1:9" ht="15.6">
      <c r="A19" s="10">
        <v>15</v>
      </c>
      <c r="B19" s="11" t="s">
        <v>30</v>
      </c>
      <c r="C19" s="12"/>
      <c r="D19" s="11" t="s">
        <v>205</v>
      </c>
      <c r="E19" s="13" t="s">
        <v>31</v>
      </c>
      <c r="F19" s="61">
        <v>2</v>
      </c>
      <c r="G19" s="76">
        <v>4</v>
      </c>
      <c r="H19" s="76">
        <f t="shared" si="0"/>
        <v>6</v>
      </c>
      <c r="I19" s="1"/>
    </row>
    <row r="20" spans="1:9" ht="15.6">
      <c r="A20" s="10">
        <v>16</v>
      </c>
      <c r="B20" s="11" t="s">
        <v>32</v>
      </c>
      <c r="C20" s="12"/>
      <c r="D20" s="11" t="s">
        <v>205</v>
      </c>
      <c r="E20" s="13" t="s">
        <v>31</v>
      </c>
      <c r="F20" s="61">
        <v>2</v>
      </c>
      <c r="G20" s="76">
        <v>4</v>
      </c>
      <c r="H20" s="76">
        <f t="shared" si="0"/>
        <v>6</v>
      </c>
      <c r="I20" s="1"/>
    </row>
    <row r="21" spans="1:9" ht="15.6">
      <c r="A21" s="10">
        <v>17</v>
      </c>
      <c r="B21" s="11" t="s">
        <v>108</v>
      </c>
      <c r="C21" s="12"/>
      <c r="D21" s="11" t="s">
        <v>205</v>
      </c>
      <c r="E21" s="13" t="s">
        <v>31</v>
      </c>
      <c r="F21" s="61">
        <v>2</v>
      </c>
      <c r="G21" s="76">
        <v>4</v>
      </c>
      <c r="H21" s="76">
        <f t="shared" si="0"/>
        <v>6</v>
      </c>
      <c r="I21" s="1"/>
    </row>
    <row r="22" spans="1:9" ht="15.6">
      <c r="A22" s="10">
        <v>18</v>
      </c>
      <c r="B22" s="11" t="s">
        <v>231</v>
      </c>
      <c r="C22" s="12"/>
      <c r="D22" s="11" t="s">
        <v>205</v>
      </c>
      <c r="E22" s="13" t="s">
        <v>31</v>
      </c>
      <c r="F22" s="61">
        <v>2</v>
      </c>
      <c r="G22" s="76">
        <v>4</v>
      </c>
      <c r="H22" s="76">
        <f t="shared" si="0"/>
        <v>6</v>
      </c>
      <c r="I22" s="1"/>
    </row>
    <row r="23" spans="1:9" ht="15.6">
      <c r="A23" s="10">
        <v>19</v>
      </c>
      <c r="B23" s="11" t="s">
        <v>35</v>
      </c>
      <c r="C23" s="12"/>
      <c r="D23" s="11" t="s">
        <v>203</v>
      </c>
      <c r="E23" s="13" t="s">
        <v>36</v>
      </c>
      <c r="F23" s="61">
        <v>2</v>
      </c>
      <c r="G23" s="76">
        <v>4</v>
      </c>
      <c r="H23" s="76">
        <f t="shared" si="0"/>
        <v>6</v>
      </c>
      <c r="I23" s="1"/>
    </row>
    <row r="24" spans="1:9" ht="15.6">
      <c r="A24" s="10">
        <v>20</v>
      </c>
      <c r="B24" s="11" t="s">
        <v>37</v>
      </c>
      <c r="C24" s="12"/>
      <c r="D24" s="11" t="s">
        <v>203</v>
      </c>
      <c r="E24" s="13" t="s">
        <v>38</v>
      </c>
      <c r="F24" s="61">
        <v>2</v>
      </c>
      <c r="G24" s="76">
        <v>3</v>
      </c>
      <c r="H24" s="76">
        <f t="shared" si="0"/>
        <v>5</v>
      </c>
      <c r="I24" s="1"/>
    </row>
    <row r="25" spans="1:9" ht="15.6">
      <c r="A25" s="10">
        <v>21</v>
      </c>
      <c r="B25" s="11" t="s">
        <v>39</v>
      </c>
      <c r="C25" s="12"/>
      <c r="D25" s="11" t="s">
        <v>203</v>
      </c>
      <c r="E25" s="13" t="s">
        <v>38</v>
      </c>
      <c r="F25" s="61">
        <v>1</v>
      </c>
      <c r="G25" s="76">
        <v>3</v>
      </c>
      <c r="H25" s="76">
        <f t="shared" si="0"/>
        <v>4</v>
      </c>
      <c r="I25" s="1"/>
    </row>
    <row r="26" spans="1:9" ht="15.6">
      <c r="A26" s="10">
        <v>22</v>
      </c>
      <c r="B26" s="11" t="s">
        <v>209</v>
      </c>
      <c r="C26" s="12" t="s">
        <v>199</v>
      </c>
      <c r="D26" s="11" t="s">
        <v>205</v>
      </c>
      <c r="E26" s="13" t="s">
        <v>41</v>
      </c>
      <c r="F26" s="61">
        <v>2</v>
      </c>
      <c r="G26" s="76">
        <v>3</v>
      </c>
      <c r="H26" s="76">
        <f t="shared" si="0"/>
        <v>5</v>
      </c>
      <c r="I26" s="1"/>
    </row>
    <row r="27" spans="1:9" ht="15.6">
      <c r="A27" s="10">
        <v>23</v>
      </c>
      <c r="B27" s="11" t="s">
        <v>40</v>
      </c>
      <c r="C27" s="12" t="s">
        <v>199</v>
      </c>
      <c r="D27" s="11" t="s">
        <v>205</v>
      </c>
      <c r="E27" s="13" t="s">
        <v>41</v>
      </c>
      <c r="F27" s="61">
        <v>2</v>
      </c>
      <c r="G27" s="76">
        <v>3</v>
      </c>
      <c r="H27" s="76">
        <f t="shared" si="0"/>
        <v>5</v>
      </c>
      <c r="I27" s="1"/>
    </row>
    <row r="28" spans="1:9" ht="15.6">
      <c r="A28" s="10">
        <v>24</v>
      </c>
      <c r="B28" s="11" t="s">
        <v>44</v>
      </c>
      <c r="C28" s="12"/>
      <c r="D28" s="11" t="s">
        <v>205</v>
      </c>
      <c r="E28" s="13" t="s">
        <v>45</v>
      </c>
      <c r="F28" s="61">
        <v>2</v>
      </c>
      <c r="G28" s="76">
        <v>3</v>
      </c>
      <c r="H28" s="76">
        <f t="shared" si="0"/>
        <v>5</v>
      </c>
      <c r="I28" s="1"/>
    </row>
    <row r="29" spans="1:9" ht="15.6">
      <c r="A29" s="10">
        <v>25</v>
      </c>
      <c r="B29" s="11" t="s">
        <v>50</v>
      </c>
      <c r="C29" s="12"/>
      <c r="D29" s="11" t="s">
        <v>203</v>
      </c>
      <c r="E29" s="13" t="s">
        <v>49</v>
      </c>
      <c r="F29" s="61">
        <v>2</v>
      </c>
      <c r="G29" s="76">
        <v>5</v>
      </c>
      <c r="H29" s="76">
        <f t="shared" si="0"/>
        <v>7</v>
      </c>
      <c r="I29" s="1"/>
    </row>
    <row r="30" spans="1:9" ht="15.6">
      <c r="A30" s="10">
        <v>26</v>
      </c>
      <c r="B30" s="11" t="s">
        <v>48</v>
      </c>
      <c r="C30" s="12"/>
      <c r="D30" s="11" t="s">
        <v>203</v>
      </c>
      <c r="E30" s="13" t="s">
        <v>49</v>
      </c>
      <c r="F30" s="61">
        <v>2</v>
      </c>
      <c r="G30" s="76">
        <v>5</v>
      </c>
      <c r="H30" s="76">
        <f t="shared" si="0"/>
        <v>7</v>
      </c>
      <c r="I30" s="1"/>
    </row>
    <row r="31" spans="1:9" ht="15.6">
      <c r="A31" s="10">
        <v>27</v>
      </c>
      <c r="B31" s="11" t="s">
        <v>51</v>
      </c>
      <c r="C31" s="12" t="s">
        <v>199</v>
      </c>
      <c r="D31" s="11" t="s">
        <v>205</v>
      </c>
      <c r="E31" s="13" t="s">
        <v>52</v>
      </c>
      <c r="F31" s="61">
        <v>2</v>
      </c>
      <c r="G31" s="76">
        <v>5</v>
      </c>
      <c r="H31" s="76">
        <f t="shared" si="0"/>
        <v>7</v>
      </c>
      <c r="I31" s="1"/>
    </row>
    <row r="32" spans="1:9" ht="15.6">
      <c r="A32" s="10">
        <v>28</v>
      </c>
      <c r="B32" s="11" t="s">
        <v>53</v>
      </c>
      <c r="C32" s="12" t="s">
        <v>199</v>
      </c>
      <c r="D32" s="11" t="s">
        <v>205</v>
      </c>
      <c r="E32" s="13" t="s">
        <v>54</v>
      </c>
      <c r="F32" s="61">
        <v>2</v>
      </c>
      <c r="G32" s="76">
        <v>4</v>
      </c>
      <c r="H32" s="76">
        <f t="shared" si="0"/>
        <v>6</v>
      </c>
      <c r="I32" s="1"/>
    </row>
    <row r="33" spans="1:9" ht="15.6">
      <c r="A33" s="10">
        <v>29</v>
      </c>
      <c r="B33" s="11" t="s">
        <v>55</v>
      </c>
      <c r="C33" s="12" t="s">
        <v>199</v>
      </c>
      <c r="D33" s="11" t="s">
        <v>205</v>
      </c>
      <c r="E33" s="13" t="s">
        <v>54</v>
      </c>
      <c r="F33" s="61">
        <v>2</v>
      </c>
      <c r="G33" s="76">
        <v>4</v>
      </c>
      <c r="H33" s="76">
        <f t="shared" si="0"/>
        <v>6</v>
      </c>
      <c r="I33" s="1"/>
    </row>
    <row r="34" spans="1:9" ht="15.6">
      <c r="A34" s="10">
        <v>30</v>
      </c>
      <c r="B34" s="11" t="s">
        <v>59</v>
      </c>
      <c r="C34" s="12"/>
      <c r="D34" s="11" t="s">
        <v>205</v>
      </c>
      <c r="E34" s="13" t="s">
        <v>58</v>
      </c>
      <c r="F34" s="61">
        <v>2</v>
      </c>
      <c r="G34" s="76"/>
      <c r="H34" s="76">
        <f t="shared" si="0"/>
        <v>2</v>
      </c>
      <c r="I34" s="1"/>
    </row>
    <row r="35" spans="1:9" ht="15.6">
      <c r="A35" s="10">
        <v>31</v>
      </c>
      <c r="B35" s="11" t="s">
        <v>60</v>
      </c>
      <c r="C35" s="12"/>
      <c r="D35" s="11" t="s">
        <v>205</v>
      </c>
      <c r="E35" s="13" t="s">
        <v>61</v>
      </c>
      <c r="F35" s="61">
        <v>1</v>
      </c>
      <c r="G35" s="76">
        <v>3</v>
      </c>
      <c r="H35" s="76">
        <f t="shared" si="0"/>
        <v>4</v>
      </c>
      <c r="I35" s="1"/>
    </row>
    <row r="36" spans="1:9" ht="15.6">
      <c r="A36" s="10">
        <v>32</v>
      </c>
      <c r="B36" s="11" t="s">
        <v>62</v>
      </c>
      <c r="C36" s="12"/>
      <c r="D36" s="11" t="s">
        <v>205</v>
      </c>
      <c r="E36" s="13" t="s">
        <v>63</v>
      </c>
      <c r="F36" s="61">
        <v>2</v>
      </c>
      <c r="G36" s="76">
        <v>5</v>
      </c>
      <c r="H36" s="76">
        <f t="shared" si="0"/>
        <v>7</v>
      </c>
      <c r="I36" s="1"/>
    </row>
    <row r="37" spans="1:9" ht="15.6">
      <c r="A37" s="10">
        <v>33</v>
      </c>
      <c r="B37" s="11" t="s">
        <v>64</v>
      </c>
      <c r="C37" s="12"/>
      <c r="D37" s="11" t="s">
        <v>203</v>
      </c>
      <c r="E37" s="13" t="s">
        <v>65</v>
      </c>
      <c r="F37" s="61">
        <v>2</v>
      </c>
      <c r="G37" s="76"/>
      <c r="H37" s="76">
        <f t="shared" ref="H37:H68" si="1">SUM(F37:G37)</f>
        <v>2</v>
      </c>
      <c r="I37" s="1"/>
    </row>
    <row r="38" spans="1:9" ht="15.6">
      <c r="A38" s="10">
        <v>34</v>
      </c>
      <c r="B38" s="11" t="s">
        <v>66</v>
      </c>
      <c r="C38" s="12"/>
      <c r="D38" s="11" t="s">
        <v>212</v>
      </c>
      <c r="E38" s="13" t="s">
        <v>67</v>
      </c>
      <c r="F38" s="61">
        <v>1</v>
      </c>
      <c r="G38" s="76"/>
      <c r="H38" s="76">
        <f t="shared" si="1"/>
        <v>1</v>
      </c>
      <c r="I38" s="1"/>
    </row>
    <row r="39" spans="1:9" ht="15.6">
      <c r="A39" s="10">
        <v>35</v>
      </c>
      <c r="B39" s="11" t="s">
        <v>232</v>
      </c>
      <c r="C39" s="12"/>
      <c r="D39" s="11" t="s">
        <v>203</v>
      </c>
      <c r="E39" s="13" t="s">
        <v>151</v>
      </c>
      <c r="F39" s="61">
        <v>2</v>
      </c>
      <c r="G39" s="76"/>
      <c r="H39" s="76">
        <f t="shared" si="1"/>
        <v>2</v>
      </c>
      <c r="I39" s="1"/>
    </row>
    <row r="40" spans="1:9" ht="15.6">
      <c r="A40" s="10">
        <v>36</v>
      </c>
      <c r="B40" s="11" t="s">
        <v>233</v>
      </c>
      <c r="C40" s="12"/>
      <c r="D40" s="11" t="s">
        <v>203</v>
      </c>
      <c r="E40" s="13" t="s">
        <v>151</v>
      </c>
      <c r="F40" s="61">
        <v>2</v>
      </c>
      <c r="G40" s="76"/>
      <c r="H40" s="76">
        <f t="shared" si="1"/>
        <v>2</v>
      </c>
      <c r="I40" s="1"/>
    </row>
    <row r="41" spans="1:9" ht="15.6">
      <c r="A41" s="10">
        <v>37</v>
      </c>
      <c r="B41" s="11" t="s">
        <v>234</v>
      </c>
      <c r="C41" s="12"/>
      <c r="D41" s="11" t="s">
        <v>203</v>
      </c>
      <c r="E41" s="13" t="s">
        <v>151</v>
      </c>
      <c r="F41" s="61">
        <v>2</v>
      </c>
      <c r="G41" s="76"/>
      <c r="H41" s="76">
        <f t="shared" si="1"/>
        <v>2</v>
      </c>
      <c r="I41" s="1"/>
    </row>
    <row r="42" spans="1:9" ht="15.6">
      <c r="A42" s="10">
        <v>38</v>
      </c>
      <c r="B42" s="11" t="s">
        <v>69</v>
      </c>
      <c r="C42" s="12"/>
      <c r="D42" s="11" t="s">
        <v>203</v>
      </c>
      <c r="E42" s="13" t="s">
        <v>70</v>
      </c>
      <c r="F42" s="61">
        <v>1</v>
      </c>
      <c r="G42" s="76"/>
      <c r="H42" s="76">
        <f t="shared" si="1"/>
        <v>1</v>
      </c>
      <c r="I42" s="1"/>
    </row>
    <row r="43" spans="1:9" ht="15.6">
      <c r="A43" s="10">
        <v>39</v>
      </c>
      <c r="B43" s="11" t="s">
        <v>71</v>
      </c>
      <c r="C43" s="12"/>
      <c r="D43" s="11" t="s">
        <v>203</v>
      </c>
      <c r="E43" s="17" t="s">
        <v>72</v>
      </c>
      <c r="F43" s="61">
        <v>1</v>
      </c>
      <c r="G43" s="76"/>
      <c r="H43" s="76">
        <f t="shared" si="1"/>
        <v>1</v>
      </c>
      <c r="I43" s="1"/>
    </row>
    <row r="44" spans="1:9" ht="15.6">
      <c r="A44" s="10">
        <v>40</v>
      </c>
      <c r="B44" s="11" t="s">
        <v>73</v>
      </c>
      <c r="C44" s="12"/>
      <c r="D44" s="11" t="s">
        <v>205</v>
      </c>
      <c r="E44" s="17" t="s">
        <v>74</v>
      </c>
      <c r="F44" s="61">
        <v>2</v>
      </c>
      <c r="G44" s="76">
        <v>2</v>
      </c>
      <c r="H44" s="76">
        <f t="shared" si="1"/>
        <v>4</v>
      </c>
      <c r="I44" s="1"/>
    </row>
    <row r="45" spans="1:9" ht="15.6">
      <c r="A45" s="10">
        <v>41</v>
      </c>
      <c r="B45" s="11" t="s">
        <v>75</v>
      </c>
      <c r="C45" s="12"/>
      <c r="D45" s="11" t="s">
        <v>205</v>
      </c>
      <c r="E45" s="13" t="s">
        <v>76</v>
      </c>
      <c r="F45" s="61">
        <v>1</v>
      </c>
      <c r="G45" s="76">
        <v>3</v>
      </c>
      <c r="H45" s="76">
        <f t="shared" si="1"/>
        <v>4</v>
      </c>
      <c r="I45" s="1"/>
    </row>
    <row r="46" spans="1:9" ht="15.6">
      <c r="A46" s="10">
        <v>42</v>
      </c>
      <c r="B46" s="11" t="s">
        <v>77</v>
      </c>
      <c r="C46" s="12"/>
      <c r="D46" s="11" t="s">
        <v>205</v>
      </c>
      <c r="E46" s="13" t="s">
        <v>76</v>
      </c>
      <c r="F46" s="61">
        <v>1</v>
      </c>
      <c r="G46" s="76">
        <v>3</v>
      </c>
      <c r="H46" s="76">
        <f t="shared" si="1"/>
        <v>4</v>
      </c>
      <c r="I46" s="1"/>
    </row>
    <row r="47" spans="1:9" ht="15.6">
      <c r="A47" s="10">
        <v>43</v>
      </c>
      <c r="B47" s="11" t="s">
        <v>78</v>
      </c>
      <c r="C47" s="12"/>
      <c r="D47" s="11" t="s">
        <v>203</v>
      </c>
      <c r="E47" s="17" t="s">
        <v>79</v>
      </c>
      <c r="F47" s="61">
        <v>2</v>
      </c>
      <c r="G47" s="76">
        <v>2</v>
      </c>
      <c r="H47" s="76">
        <f t="shared" si="1"/>
        <v>4</v>
      </c>
      <c r="I47" s="1"/>
    </row>
    <row r="48" spans="1:9" ht="15.6">
      <c r="A48" s="10">
        <v>44</v>
      </c>
      <c r="B48" s="11" t="s">
        <v>80</v>
      </c>
      <c r="C48" s="12"/>
      <c r="D48" s="11" t="s">
        <v>203</v>
      </c>
      <c r="E48" s="17" t="s">
        <v>81</v>
      </c>
      <c r="F48" s="61">
        <v>2</v>
      </c>
      <c r="G48" s="76">
        <v>3</v>
      </c>
      <c r="H48" s="76">
        <f t="shared" si="1"/>
        <v>5</v>
      </c>
      <c r="I48" s="1"/>
    </row>
    <row r="49" spans="1:9" ht="15.6">
      <c r="A49" s="10">
        <v>45</v>
      </c>
      <c r="B49" s="11" t="s">
        <v>82</v>
      </c>
      <c r="C49" s="12"/>
      <c r="D49" s="11" t="s">
        <v>203</v>
      </c>
      <c r="E49" s="17" t="s">
        <v>81</v>
      </c>
      <c r="F49" s="61">
        <v>2</v>
      </c>
      <c r="G49" s="76">
        <v>3</v>
      </c>
      <c r="H49" s="76">
        <f t="shared" si="1"/>
        <v>5</v>
      </c>
      <c r="I49" s="1"/>
    </row>
    <row r="50" spans="1:9" ht="15.6">
      <c r="A50" s="10">
        <v>46</v>
      </c>
      <c r="B50" s="11" t="s">
        <v>113</v>
      </c>
      <c r="C50" s="12"/>
      <c r="D50" s="11" t="s">
        <v>203</v>
      </c>
      <c r="E50" s="17" t="s">
        <v>114</v>
      </c>
      <c r="F50" s="61">
        <v>2</v>
      </c>
      <c r="G50" s="76">
        <v>3</v>
      </c>
      <c r="H50" s="76">
        <f t="shared" si="1"/>
        <v>5</v>
      </c>
      <c r="I50" s="1"/>
    </row>
    <row r="51" spans="1:9" ht="15.6">
      <c r="A51" s="10">
        <v>47</v>
      </c>
      <c r="B51" s="11" t="s">
        <v>118</v>
      </c>
      <c r="C51" s="12"/>
      <c r="D51" s="11" t="s">
        <v>205</v>
      </c>
      <c r="E51" s="17" t="s">
        <v>119</v>
      </c>
      <c r="F51" s="61">
        <v>2</v>
      </c>
      <c r="G51" s="76"/>
      <c r="H51" s="76">
        <f t="shared" si="1"/>
        <v>2</v>
      </c>
      <c r="I51" s="1"/>
    </row>
    <row r="52" spans="1:9" ht="15.6">
      <c r="A52" s="10">
        <v>48</v>
      </c>
      <c r="B52" s="11" t="s">
        <v>214</v>
      </c>
      <c r="C52" s="12"/>
      <c r="D52" s="11" t="s">
        <v>205</v>
      </c>
      <c r="E52" s="17" t="s">
        <v>119</v>
      </c>
      <c r="F52" s="61">
        <v>2</v>
      </c>
      <c r="G52" s="64"/>
      <c r="H52" s="76">
        <f t="shared" si="1"/>
        <v>2</v>
      </c>
      <c r="I52" s="1"/>
    </row>
    <row r="53" spans="1:9" ht="15.6">
      <c r="A53" s="10">
        <v>49</v>
      </c>
      <c r="B53" s="11" t="s">
        <v>235</v>
      </c>
      <c r="C53" s="12"/>
      <c r="D53" s="11" t="s">
        <v>203</v>
      </c>
      <c r="E53" s="17" t="s">
        <v>90</v>
      </c>
      <c r="F53" s="61">
        <v>1</v>
      </c>
      <c r="G53" s="76"/>
      <c r="H53" s="76">
        <f t="shared" si="1"/>
        <v>1</v>
      </c>
      <c r="I53" s="1"/>
    </row>
    <row r="54" spans="1:9" ht="15.6">
      <c r="A54" s="10">
        <v>50</v>
      </c>
      <c r="B54" s="11" t="s">
        <v>121</v>
      </c>
      <c r="C54" s="12"/>
      <c r="D54" s="11" t="s">
        <v>205</v>
      </c>
      <c r="E54" s="17" t="s">
        <v>215</v>
      </c>
      <c r="F54" s="61">
        <v>2</v>
      </c>
      <c r="G54" s="76"/>
      <c r="H54" s="76">
        <f t="shared" si="1"/>
        <v>2</v>
      </c>
      <c r="I54" s="1"/>
    </row>
    <row r="55" spans="1:9" ht="15.6">
      <c r="A55" s="10">
        <v>51</v>
      </c>
      <c r="B55" s="11" t="s">
        <v>116</v>
      </c>
      <c r="C55" s="12"/>
      <c r="D55" s="11" t="s">
        <v>203</v>
      </c>
      <c r="E55" s="17" t="s">
        <v>84</v>
      </c>
      <c r="F55" s="61">
        <v>1</v>
      </c>
      <c r="G55" s="76"/>
      <c r="H55" s="76">
        <f t="shared" si="1"/>
        <v>1</v>
      </c>
      <c r="I55" s="1"/>
    </row>
    <row r="56" spans="1:9" ht="15.6">
      <c r="A56" s="10">
        <v>52</v>
      </c>
      <c r="B56" s="11" t="s">
        <v>86</v>
      </c>
      <c r="C56" s="12"/>
      <c r="D56" s="11" t="s">
        <v>203</v>
      </c>
      <c r="E56" s="17" t="s">
        <v>84</v>
      </c>
      <c r="F56" s="61">
        <v>1</v>
      </c>
      <c r="G56" s="76"/>
      <c r="H56" s="76">
        <f t="shared" si="1"/>
        <v>1</v>
      </c>
      <c r="I56" s="1"/>
    </row>
    <row r="57" spans="1:9" ht="15.6">
      <c r="A57" s="10">
        <v>53</v>
      </c>
      <c r="B57" s="11" t="s">
        <v>143</v>
      </c>
      <c r="C57" s="12"/>
      <c r="D57" s="11" t="s">
        <v>203</v>
      </c>
      <c r="E57" s="17" t="s">
        <v>144</v>
      </c>
      <c r="F57" s="61">
        <v>2</v>
      </c>
      <c r="G57" s="76"/>
      <c r="H57" s="76">
        <f t="shared" si="1"/>
        <v>2</v>
      </c>
      <c r="I57" s="1"/>
    </row>
    <row r="58" spans="1:9" ht="15.6">
      <c r="A58" s="10">
        <v>54</v>
      </c>
      <c r="B58" s="11" t="s">
        <v>216</v>
      </c>
      <c r="C58" s="12"/>
      <c r="D58" s="11" t="s">
        <v>203</v>
      </c>
      <c r="E58" s="17" t="s">
        <v>144</v>
      </c>
      <c r="F58" s="61">
        <v>2</v>
      </c>
      <c r="G58" s="76"/>
      <c r="H58" s="76">
        <f t="shared" si="1"/>
        <v>2</v>
      </c>
      <c r="I58" s="1"/>
    </row>
    <row r="59" spans="1:9" ht="15.6">
      <c r="A59" s="10">
        <v>55</v>
      </c>
      <c r="B59" s="11" t="s">
        <v>236</v>
      </c>
      <c r="C59" s="12"/>
      <c r="D59" s="11" t="s">
        <v>203</v>
      </c>
      <c r="E59" s="17" t="s">
        <v>130</v>
      </c>
      <c r="F59" s="61">
        <v>2</v>
      </c>
      <c r="G59" s="76"/>
      <c r="H59" s="76">
        <f t="shared" si="1"/>
        <v>2</v>
      </c>
      <c r="I59" s="1"/>
    </row>
    <row r="60" spans="1:9" ht="15.6">
      <c r="A60" s="10">
        <v>56</v>
      </c>
      <c r="B60" s="11" t="s">
        <v>237</v>
      </c>
      <c r="C60" s="12"/>
      <c r="D60" s="11" t="s">
        <v>203</v>
      </c>
      <c r="E60" s="17" t="s">
        <v>47</v>
      </c>
      <c r="F60" s="64">
        <v>2</v>
      </c>
      <c r="G60" s="76"/>
      <c r="H60" s="76">
        <f t="shared" si="1"/>
        <v>2</v>
      </c>
      <c r="I60" s="1"/>
    </row>
    <row r="61" spans="1:9" ht="15.6">
      <c r="A61" s="10">
        <v>57</v>
      </c>
      <c r="B61" s="11" t="s">
        <v>110</v>
      </c>
      <c r="C61" s="12"/>
      <c r="D61" s="11" t="s">
        <v>203</v>
      </c>
      <c r="E61" s="17" t="s">
        <v>47</v>
      </c>
      <c r="F61" s="64">
        <v>2</v>
      </c>
      <c r="G61" s="76"/>
      <c r="H61" s="76">
        <f t="shared" si="1"/>
        <v>2</v>
      </c>
      <c r="I61" s="1"/>
    </row>
    <row r="62" spans="1:9" ht="15.6">
      <c r="A62" s="10">
        <v>58</v>
      </c>
      <c r="B62" s="11" t="s">
        <v>238</v>
      </c>
      <c r="C62" s="12"/>
      <c r="D62" s="11" t="s">
        <v>203</v>
      </c>
      <c r="E62" s="17" t="s">
        <v>112</v>
      </c>
      <c r="F62" s="64">
        <v>2</v>
      </c>
      <c r="G62" s="76"/>
      <c r="H62" s="76">
        <f t="shared" si="1"/>
        <v>2</v>
      </c>
      <c r="I62" s="1"/>
    </row>
    <row r="63" spans="1:9" ht="15.6">
      <c r="A63" s="10">
        <v>59</v>
      </c>
      <c r="B63" s="78" t="s">
        <v>133</v>
      </c>
      <c r="C63" s="12"/>
      <c r="D63" s="11" t="s">
        <v>205</v>
      </c>
      <c r="E63" s="17" t="s">
        <v>130</v>
      </c>
      <c r="F63" s="64">
        <v>2</v>
      </c>
      <c r="G63" s="76"/>
      <c r="H63" s="76">
        <f t="shared" si="1"/>
        <v>2</v>
      </c>
      <c r="I63" s="1"/>
    </row>
    <row r="64" spans="1:9" ht="15.6">
      <c r="A64" s="10">
        <v>60</v>
      </c>
      <c r="B64" s="78" t="s">
        <v>68</v>
      </c>
      <c r="C64" s="12"/>
      <c r="D64" s="11" t="s">
        <v>205</v>
      </c>
      <c r="E64" s="17" t="s">
        <v>67</v>
      </c>
      <c r="F64" s="64">
        <v>1</v>
      </c>
      <c r="G64" s="76"/>
      <c r="H64" s="76">
        <f t="shared" si="1"/>
        <v>1</v>
      </c>
      <c r="I64" s="1"/>
    </row>
    <row r="65" spans="1:9" ht="15.6">
      <c r="A65" s="10">
        <v>61</v>
      </c>
      <c r="B65" s="78" t="s">
        <v>127</v>
      </c>
      <c r="C65" s="12"/>
      <c r="D65" s="11" t="s">
        <v>203</v>
      </c>
      <c r="E65" s="13" t="s">
        <v>128</v>
      </c>
      <c r="F65" s="64">
        <v>1</v>
      </c>
      <c r="G65" s="64"/>
      <c r="H65" s="76">
        <f t="shared" si="1"/>
        <v>1</v>
      </c>
      <c r="I65" s="1"/>
    </row>
    <row r="66" spans="1:9" ht="15.6">
      <c r="A66" s="10">
        <v>62</v>
      </c>
      <c r="B66" s="78" t="s">
        <v>177</v>
      </c>
      <c r="C66" s="12"/>
      <c r="D66" s="11" t="s">
        <v>203</v>
      </c>
      <c r="E66" s="13" t="s">
        <v>239</v>
      </c>
      <c r="F66" s="64"/>
      <c r="G66" s="64">
        <v>3</v>
      </c>
      <c r="H66" s="76">
        <f t="shared" si="1"/>
        <v>3</v>
      </c>
      <c r="I66" s="1"/>
    </row>
    <row r="67" spans="1:9" ht="15.6">
      <c r="A67" s="10">
        <v>63</v>
      </c>
      <c r="B67" s="78" t="s">
        <v>179</v>
      </c>
      <c r="C67" s="12"/>
      <c r="D67" s="11" t="s">
        <v>203</v>
      </c>
      <c r="E67" s="13" t="s">
        <v>239</v>
      </c>
      <c r="F67" s="64"/>
      <c r="G67" s="64">
        <v>3</v>
      </c>
      <c r="H67" s="76">
        <f t="shared" si="1"/>
        <v>3</v>
      </c>
      <c r="I67" s="1"/>
    </row>
    <row r="68" spans="1:9" ht="15.6">
      <c r="A68" s="10">
        <v>64</v>
      </c>
      <c r="B68" s="78" t="s">
        <v>240</v>
      </c>
      <c r="C68" s="12"/>
      <c r="D68" s="11" t="s">
        <v>205</v>
      </c>
      <c r="E68" s="13" t="s">
        <v>169</v>
      </c>
      <c r="F68" s="64"/>
      <c r="G68" s="64">
        <v>5</v>
      </c>
      <c r="H68" s="76">
        <f t="shared" si="1"/>
        <v>5</v>
      </c>
      <c r="I68" s="1"/>
    </row>
    <row r="69" spans="1:9" ht="15.6">
      <c r="A69" s="10">
        <v>65</v>
      </c>
      <c r="B69" s="78" t="s">
        <v>132</v>
      </c>
      <c r="C69" s="12"/>
      <c r="D69" s="11" t="s">
        <v>205</v>
      </c>
      <c r="E69" s="13" t="s">
        <v>130</v>
      </c>
      <c r="F69" s="64"/>
      <c r="G69" s="64">
        <v>5</v>
      </c>
      <c r="H69" s="76">
        <f t="shared" ref="H69:H100" si="2">SUM(F69:G69)</f>
        <v>5</v>
      </c>
      <c r="I69" s="1"/>
    </row>
    <row r="70" spans="1:9" ht="15.6">
      <c r="A70" s="10">
        <v>66</v>
      </c>
      <c r="B70" s="78" t="s">
        <v>241</v>
      </c>
      <c r="C70" s="12"/>
      <c r="D70" s="11" t="s">
        <v>203</v>
      </c>
      <c r="E70" s="13" t="s">
        <v>88</v>
      </c>
      <c r="F70" s="64"/>
      <c r="G70" s="64">
        <v>5</v>
      </c>
      <c r="H70" s="76">
        <f t="shared" si="2"/>
        <v>5</v>
      </c>
      <c r="I70" s="1"/>
    </row>
    <row r="71" spans="1:9" ht="15.6">
      <c r="A71" s="10">
        <v>67</v>
      </c>
      <c r="B71" s="78" t="s">
        <v>242</v>
      </c>
      <c r="C71" s="12"/>
      <c r="D71" s="11" t="s">
        <v>203</v>
      </c>
      <c r="E71" s="13" t="s">
        <v>159</v>
      </c>
      <c r="F71" s="64"/>
      <c r="G71" s="64">
        <v>3</v>
      </c>
      <c r="H71" s="76">
        <f t="shared" si="2"/>
        <v>3</v>
      </c>
      <c r="I71" s="1"/>
    </row>
    <row r="72" spans="1:9" ht="15.6">
      <c r="A72" s="10">
        <v>68</v>
      </c>
      <c r="B72" s="78" t="s">
        <v>154</v>
      </c>
      <c r="C72" s="12"/>
      <c r="D72" s="11" t="s">
        <v>203</v>
      </c>
      <c r="E72" s="13" t="s">
        <v>155</v>
      </c>
      <c r="F72" s="64"/>
      <c r="G72" s="64">
        <v>5</v>
      </c>
      <c r="H72" s="76">
        <f t="shared" si="2"/>
        <v>5</v>
      </c>
      <c r="I72" s="1"/>
    </row>
    <row r="73" spans="1:9" ht="15.6">
      <c r="A73" s="10">
        <v>69</v>
      </c>
      <c r="B73" s="78" t="s">
        <v>243</v>
      </c>
      <c r="C73" s="12"/>
      <c r="D73" s="11" t="s">
        <v>203</v>
      </c>
      <c r="E73" s="13" t="s">
        <v>244</v>
      </c>
      <c r="F73" s="64"/>
      <c r="G73" s="64">
        <v>2</v>
      </c>
      <c r="H73" s="76">
        <f t="shared" si="2"/>
        <v>2</v>
      </c>
      <c r="I73" s="1"/>
    </row>
    <row r="74" spans="1:9" ht="15.6">
      <c r="A74" s="10">
        <v>70</v>
      </c>
      <c r="B74" s="78" t="s">
        <v>245</v>
      </c>
      <c r="C74" s="12"/>
      <c r="D74" s="11" t="s">
        <v>203</v>
      </c>
      <c r="E74" s="13" t="s">
        <v>41</v>
      </c>
      <c r="F74" s="64"/>
      <c r="G74" s="64">
        <v>2</v>
      </c>
      <c r="H74" s="76">
        <f t="shared" si="2"/>
        <v>2</v>
      </c>
      <c r="I74" s="1"/>
    </row>
    <row r="75" spans="1:9" ht="15.6">
      <c r="A75" s="10">
        <v>71</v>
      </c>
      <c r="B75" s="78" t="s">
        <v>182</v>
      </c>
      <c r="C75" s="12"/>
      <c r="D75" s="11" t="s">
        <v>203</v>
      </c>
      <c r="E75" s="13" t="s">
        <v>183</v>
      </c>
      <c r="F75" s="64"/>
      <c r="G75" s="64">
        <v>4</v>
      </c>
      <c r="H75" s="76">
        <f t="shared" si="2"/>
        <v>4</v>
      </c>
      <c r="I75" s="1"/>
    </row>
    <row r="76" spans="1:9" ht="15.6">
      <c r="A76" s="10">
        <v>72</v>
      </c>
      <c r="B76" s="78" t="s">
        <v>221</v>
      </c>
      <c r="C76" s="12"/>
      <c r="D76" s="11" t="s">
        <v>205</v>
      </c>
      <c r="E76" s="13" t="s">
        <v>155</v>
      </c>
      <c r="F76" s="64"/>
      <c r="G76" s="64">
        <v>4</v>
      </c>
      <c r="H76" s="76">
        <f t="shared" si="2"/>
        <v>4</v>
      </c>
      <c r="I76" s="1"/>
    </row>
    <row r="77" spans="1:9" ht="15.6">
      <c r="A77" s="10">
        <v>73</v>
      </c>
      <c r="B77" s="78" t="s">
        <v>223</v>
      </c>
      <c r="C77" s="12"/>
      <c r="D77" s="11" t="s">
        <v>203</v>
      </c>
      <c r="E77" s="13" t="s">
        <v>159</v>
      </c>
      <c r="F77" s="64"/>
      <c r="G77" s="64">
        <v>1</v>
      </c>
      <c r="H77" s="77">
        <f t="shared" si="2"/>
        <v>1</v>
      </c>
      <c r="I77" s="1"/>
    </row>
    <row r="78" spans="1:9" ht="15.6">
      <c r="A78" s="10">
        <v>74</v>
      </c>
      <c r="B78" s="78" t="s">
        <v>224</v>
      </c>
      <c r="C78" s="12"/>
      <c r="D78" s="11" t="s">
        <v>203</v>
      </c>
      <c r="E78" s="13" t="s">
        <v>181</v>
      </c>
      <c r="F78" s="64"/>
      <c r="G78" s="64">
        <v>3</v>
      </c>
      <c r="H78" s="77">
        <f t="shared" si="2"/>
        <v>3</v>
      </c>
      <c r="I78" s="1"/>
    </row>
    <row r="79" spans="1:9" ht="15.6">
      <c r="A79" s="10">
        <v>75</v>
      </c>
      <c r="B79" s="78"/>
      <c r="C79" s="12" t="s">
        <v>199</v>
      </c>
      <c r="D79" s="11" t="s">
        <v>205</v>
      </c>
      <c r="E79" s="13" t="s">
        <v>54</v>
      </c>
      <c r="F79" s="64"/>
      <c r="G79" s="64">
        <v>1</v>
      </c>
      <c r="H79" s="77">
        <f t="shared" si="2"/>
        <v>1</v>
      </c>
      <c r="I79" s="1"/>
    </row>
    <row r="80" spans="1:9" ht="15.6">
      <c r="A80" s="10">
        <v>76</v>
      </c>
      <c r="B80" s="78"/>
      <c r="C80" s="12"/>
      <c r="D80" s="11"/>
      <c r="E80" s="13"/>
      <c r="F80" s="64"/>
      <c r="G80" s="64"/>
      <c r="H80" s="77"/>
      <c r="I80" s="1"/>
    </row>
    <row r="81" spans="1:9" ht="15.6">
      <c r="A81" s="10">
        <v>77</v>
      </c>
      <c r="B81" s="78"/>
      <c r="C81" s="12"/>
      <c r="D81" s="11"/>
      <c r="E81" s="13"/>
      <c r="F81" s="64"/>
      <c r="G81" s="64"/>
      <c r="H81" s="77"/>
      <c r="I81" s="1"/>
    </row>
    <row r="82" spans="1:9" ht="16.2" thickBot="1">
      <c r="A82" s="81" t="s">
        <v>246</v>
      </c>
      <c r="B82" s="82"/>
      <c r="C82" s="82"/>
      <c r="D82" s="82"/>
      <c r="E82" s="83"/>
      <c r="F82" s="71">
        <f>SUM(F5:F81)</f>
        <v>106</v>
      </c>
      <c r="G82" s="73">
        <f>SUM(G5:G81)</f>
        <v>173</v>
      </c>
      <c r="H82" s="73">
        <f>SUM(H5:H79)</f>
        <v>279</v>
      </c>
      <c r="I82" s="1"/>
    </row>
    <row r="83" spans="1:9" ht="15.6">
      <c r="A83" s="1"/>
      <c r="B83" s="1"/>
      <c r="C83" s="1"/>
      <c r="D83" s="1"/>
      <c r="E83" s="1"/>
      <c r="F83" s="1"/>
      <c r="G83" s="2"/>
      <c r="H83" s="3"/>
      <c r="I83" s="1"/>
    </row>
  </sheetData>
  <mergeCells count="10">
    <mergeCell ref="A82:E82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DF4C-5AC4-4DAF-8BBD-302A9578057E}">
  <dimension ref="A1:J65"/>
  <sheetViews>
    <sheetView topLeftCell="A3" zoomScale="115" zoomScaleNormal="115" workbookViewId="0">
      <selection activeCell="B11" sqref="B11"/>
    </sheetView>
  </sheetViews>
  <sheetFormatPr defaultRowHeight="14.4"/>
  <cols>
    <col min="1" max="1" width="8.21875" customWidth="1"/>
    <col min="2" max="2" width="68.44140625" customWidth="1"/>
    <col min="3" max="3" width="19.21875" customWidth="1"/>
    <col min="4" max="4" width="24.88671875" customWidth="1"/>
    <col min="5" max="5" width="28.6640625" customWidth="1"/>
    <col min="6" max="6" width="15.88671875" customWidth="1"/>
    <col min="8" max="8" width="25.33203125" customWidth="1"/>
    <col min="9" max="9" width="12" customWidth="1"/>
  </cols>
  <sheetData>
    <row r="1" spans="1:10" ht="15">
      <c r="A1" s="1"/>
      <c r="B1" s="1"/>
      <c r="C1" s="1"/>
      <c r="D1" s="1"/>
      <c r="E1" s="1"/>
      <c r="F1" s="1"/>
      <c r="G1" s="1"/>
      <c r="H1" s="1"/>
      <c r="I1" s="22"/>
      <c r="J1" s="1"/>
    </row>
    <row r="2" spans="1:10" ht="17.399999999999999">
      <c r="A2" s="84" t="s">
        <v>250</v>
      </c>
      <c r="B2" s="85"/>
      <c r="C2" s="85"/>
      <c r="D2" s="85"/>
      <c r="E2" s="85"/>
      <c r="F2" s="85"/>
      <c r="G2" s="85"/>
      <c r="H2" s="85"/>
      <c r="I2" s="133"/>
      <c r="J2" s="1"/>
    </row>
    <row r="3" spans="1:10">
      <c r="A3" s="86" t="s">
        <v>1</v>
      </c>
      <c r="B3" s="88" t="s">
        <v>2</v>
      </c>
      <c r="C3" s="90" t="s">
        <v>200</v>
      </c>
      <c r="D3" s="88" t="s">
        <v>4</v>
      </c>
      <c r="E3" s="129" t="s">
        <v>260</v>
      </c>
      <c r="F3" s="88" t="s">
        <v>201</v>
      </c>
      <c r="G3" s="88" t="s">
        <v>202</v>
      </c>
      <c r="H3" s="134" t="s">
        <v>261</v>
      </c>
      <c r="I3" s="129" t="s">
        <v>262</v>
      </c>
      <c r="J3" s="1"/>
    </row>
    <row r="4" spans="1:10" ht="41.4" customHeight="1">
      <c r="A4" s="87"/>
      <c r="B4" s="89"/>
      <c r="C4" s="91"/>
      <c r="D4" s="89"/>
      <c r="E4" s="89"/>
      <c r="F4" s="89"/>
      <c r="G4" s="89"/>
      <c r="H4" s="135"/>
      <c r="I4" s="89"/>
      <c r="J4" s="1"/>
    </row>
    <row r="5" spans="1:10" ht="15">
      <c r="A5" s="10">
        <v>1</v>
      </c>
      <c r="B5" s="11" t="s">
        <v>14</v>
      </c>
      <c r="C5" s="11" t="s">
        <v>203</v>
      </c>
      <c r="D5" s="13" t="s">
        <v>15</v>
      </c>
      <c r="E5" s="13" t="s">
        <v>251</v>
      </c>
      <c r="F5" s="61">
        <v>1</v>
      </c>
      <c r="G5" s="14" t="s">
        <v>16</v>
      </c>
      <c r="H5" s="15" t="s">
        <v>204</v>
      </c>
      <c r="I5" s="130" t="s">
        <v>204</v>
      </c>
      <c r="J5" s="1"/>
    </row>
    <row r="6" spans="1:10" ht="15">
      <c r="A6" s="10">
        <v>2</v>
      </c>
      <c r="B6" s="11" t="s">
        <v>17</v>
      </c>
      <c r="C6" s="11" t="s">
        <v>203</v>
      </c>
      <c r="D6" s="13" t="s">
        <v>15</v>
      </c>
      <c r="E6" s="13" t="s">
        <v>251</v>
      </c>
      <c r="F6" s="61">
        <v>1</v>
      </c>
      <c r="G6" s="14" t="s">
        <v>16</v>
      </c>
      <c r="H6" s="15" t="s">
        <v>204</v>
      </c>
      <c r="I6" s="132"/>
      <c r="J6" s="1"/>
    </row>
    <row r="7" spans="1:10" ht="15">
      <c r="A7" s="10">
        <v>3</v>
      </c>
      <c r="B7" s="11" t="s">
        <v>18</v>
      </c>
      <c r="C7" s="11" t="s">
        <v>203</v>
      </c>
      <c r="D7" s="13" t="s">
        <v>15</v>
      </c>
      <c r="E7" s="13" t="s">
        <v>251</v>
      </c>
      <c r="F7" s="61">
        <v>1</v>
      </c>
      <c r="G7" s="14" t="s">
        <v>16</v>
      </c>
      <c r="H7" s="15" t="s">
        <v>204</v>
      </c>
      <c r="I7" s="132"/>
      <c r="J7" s="1"/>
    </row>
    <row r="8" spans="1:10" ht="15">
      <c r="A8" s="10">
        <v>4</v>
      </c>
      <c r="B8" s="11" t="s">
        <v>19</v>
      </c>
      <c r="C8" s="11" t="s">
        <v>203</v>
      </c>
      <c r="D8" s="13" t="s">
        <v>15</v>
      </c>
      <c r="E8" s="13" t="s">
        <v>251</v>
      </c>
      <c r="F8" s="61">
        <v>1</v>
      </c>
      <c r="G8" s="14" t="s">
        <v>16</v>
      </c>
      <c r="H8" s="15" t="s">
        <v>204</v>
      </c>
      <c r="I8" s="131"/>
      <c r="J8" s="1"/>
    </row>
    <row r="9" spans="1:10" ht="15">
      <c r="A9" s="10">
        <v>5</v>
      </c>
      <c r="B9" s="11" t="s">
        <v>20</v>
      </c>
      <c r="C9" s="11" t="s">
        <v>205</v>
      </c>
      <c r="D9" s="13" t="s">
        <v>21</v>
      </c>
      <c r="E9" s="13" t="s">
        <v>252</v>
      </c>
      <c r="F9" s="61">
        <v>1</v>
      </c>
      <c r="G9" s="14" t="s">
        <v>16</v>
      </c>
      <c r="H9" s="15" t="s">
        <v>204</v>
      </c>
      <c r="I9" s="130" t="s">
        <v>204</v>
      </c>
      <c r="J9" s="1"/>
    </row>
    <row r="10" spans="1:10" ht="15">
      <c r="A10" s="10">
        <v>6</v>
      </c>
      <c r="B10" s="11" t="s">
        <v>22</v>
      </c>
      <c r="C10" s="11" t="s">
        <v>205</v>
      </c>
      <c r="D10" s="13" t="s">
        <v>21</v>
      </c>
      <c r="E10" s="13" t="s">
        <v>252</v>
      </c>
      <c r="F10" s="61">
        <v>1</v>
      </c>
      <c r="G10" s="14" t="s">
        <v>16</v>
      </c>
      <c r="H10" s="15" t="s">
        <v>204</v>
      </c>
      <c r="I10" s="132"/>
      <c r="J10" s="1"/>
    </row>
    <row r="11" spans="1:10" ht="15">
      <c r="A11" s="10">
        <v>7</v>
      </c>
      <c r="B11" s="11" t="s">
        <v>105</v>
      </c>
      <c r="C11" s="11" t="s">
        <v>205</v>
      </c>
      <c r="D11" s="13" t="s">
        <v>21</v>
      </c>
      <c r="E11" s="13" t="s">
        <v>252</v>
      </c>
      <c r="F11" s="61">
        <v>1</v>
      </c>
      <c r="G11" s="14" t="s">
        <v>16</v>
      </c>
      <c r="H11" s="15" t="s">
        <v>204</v>
      </c>
      <c r="I11" s="131"/>
      <c r="J11" s="1"/>
    </row>
    <row r="12" spans="1:10" ht="15">
      <c r="A12" s="10">
        <v>8</v>
      </c>
      <c r="B12" s="11" t="s">
        <v>206</v>
      </c>
      <c r="C12" s="11" t="s">
        <v>203</v>
      </c>
      <c r="D12" s="13" t="s">
        <v>24</v>
      </c>
      <c r="E12" s="13" t="s">
        <v>252</v>
      </c>
      <c r="F12" s="61">
        <v>1</v>
      </c>
      <c r="G12" s="14" t="s">
        <v>16</v>
      </c>
      <c r="H12" s="15" t="s">
        <v>204</v>
      </c>
      <c r="I12" s="130" t="s">
        <v>204</v>
      </c>
      <c r="J12" s="1"/>
    </row>
    <row r="13" spans="1:10" ht="15">
      <c r="A13" s="10">
        <v>9</v>
      </c>
      <c r="B13" s="11" t="s">
        <v>25</v>
      </c>
      <c r="C13" s="11" t="s">
        <v>205</v>
      </c>
      <c r="D13" s="13" t="s">
        <v>24</v>
      </c>
      <c r="E13" s="13" t="s">
        <v>252</v>
      </c>
      <c r="F13" s="61">
        <v>1</v>
      </c>
      <c r="G13" s="14" t="s">
        <v>16</v>
      </c>
      <c r="H13" s="15" t="s">
        <v>204</v>
      </c>
      <c r="I13" s="132"/>
      <c r="J13" s="1"/>
    </row>
    <row r="14" spans="1:10" ht="15">
      <c r="A14" s="10">
        <v>10</v>
      </c>
      <c r="B14" s="11" t="s">
        <v>26</v>
      </c>
      <c r="C14" s="11" t="s">
        <v>205</v>
      </c>
      <c r="D14" s="13" t="s">
        <v>24</v>
      </c>
      <c r="E14" s="13" t="s">
        <v>252</v>
      </c>
      <c r="F14" s="61">
        <v>1</v>
      </c>
      <c r="G14" s="14" t="s">
        <v>16</v>
      </c>
      <c r="H14" s="15" t="s">
        <v>204</v>
      </c>
      <c r="I14" s="132"/>
      <c r="J14" s="1"/>
    </row>
    <row r="15" spans="1:10" ht="15">
      <c r="A15" s="10">
        <v>11</v>
      </c>
      <c r="B15" s="11" t="s">
        <v>27</v>
      </c>
      <c r="C15" s="11" t="s">
        <v>205</v>
      </c>
      <c r="D15" s="13" t="s">
        <v>24</v>
      </c>
      <c r="E15" s="13" t="s">
        <v>252</v>
      </c>
      <c r="F15" s="61">
        <v>1</v>
      </c>
      <c r="G15" s="14" t="s">
        <v>16</v>
      </c>
      <c r="H15" s="15" t="s">
        <v>204</v>
      </c>
      <c r="I15" s="132"/>
      <c r="J15" s="1"/>
    </row>
    <row r="16" spans="1:10" ht="15">
      <c r="A16" s="10">
        <v>12</v>
      </c>
      <c r="B16" s="11" t="s">
        <v>28</v>
      </c>
      <c r="C16" s="11" t="s">
        <v>205</v>
      </c>
      <c r="D16" s="13" t="s">
        <v>24</v>
      </c>
      <c r="E16" s="13" t="s">
        <v>252</v>
      </c>
      <c r="F16" s="61">
        <v>1</v>
      </c>
      <c r="G16" s="14" t="s">
        <v>16</v>
      </c>
      <c r="H16" s="15" t="s">
        <v>204</v>
      </c>
      <c r="I16" s="132"/>
      <c r="J16" s="1"/>
    </row>
    <row r="17" spans="1:10" ht="15">
      <c r="A17" s="10">
        <v>13</v>
      </c>
      <c r="B17" s="11" t="s">
        <v>29</v>
      </c>
      <c r="C17" s="11" t="s">
        <v>203</v>
      </c>
      <c r="D17" s="13" t="s">
        <v>24</v>
      </c>
      <c r="E17" s="13" t="s">
        <v>252</v>
      </c>
      <c r="F17" s="61">
        <v>1</v>
      </c>
      <c r="G17" s="14" t="s">
        <v>16</v>
      </c>
      <c r="H17" s="15" t="s">
        <v>204</v>
      </c>
      <c r="I17" s="131"/>
      <c r="J17" s="1"/>
    </row>
    <row r="18" spans="1:10" ht="15">
      <c r="A18" s="10">
        <v>14</v>
      </c>
      <c r="B18" s="11" t="s">
        <v>30</v>
      </c>
      <c r="C18" s="11" t="s">
        <v>205</v>
      </c>
      <c r="D18" s="13" t="s">
        <v>31</v>
      </c>
      <c r="E18" s="13" t="s">
        <v>252</v>
      </c>
      <c r="F18" s="61">
        <v>1</v>
      </c>
      <c r="G18" s="14" t="s">
        <v>16</v>
      </c>
      <c r="H18" s="15" t="s">
        <v>204</v>
      </c>
      <c r="I18" s="130" t="s">
        <v>204</v>
      </c>
      <c r="J18" s="1"/>
    </row>
    <row r="19" spans="1:10" ht="15">
      <c r="A19" s="10">
        <v>15</v>
      </c>
      <c r="B19" s="11" t="s">
        <v>32</v>
      </c>
      <c r="C19" s="11" t="s">
        <v>205</v>
      </c>
      <c r="D19" s="13" t="s">
        <v>31</v>
      </c>
      <c r="E19" s="13" t="s">
        <v>252</v>
      </c>
      <c r="F19" s="61">
        <v>1</v>
      </c>
      <c r="G19" s="14" t="s">
        <v>16</v>
      </c>
      <c r="H19" s="15" t="s">
        <v>204</v>
      </c>
      <c r="I19" s="132"/>
      <c r="J19" s="1"/>
    </row>
    <row r="20" spans="1:10" ht="15">
      <c r="A20" s="10">
        <v>16</v>
      </c>
      <c r="B20" s="11" t="s">
        <v>108</v>
      </c>
      <c r="C20" s="11" t="s">
        <v>205</v>
      </c>
      <c r="D20" s="13" t="s">
        <v>31</v>
      </c>
      <c r="E20" s="13" t="s">
        <v>252</v>
      </c>
      <c r="F20" s="61">
        <v>1</v>
      </c>
      <c r="G20" s="14" t="s">
        <v>16</v>
      </c>
      <c r="H20" s="15" t="s">
        <v>204</v>
      </c>
      <c r="I20" s="132"/>
      <c r="J20" s="1"/>
    </row>
    <row r="21" spans="1:10" ht="15">
      <c r="A21" s="10">
        <v>17</v>
      </c>
      <c r="B21" s="11" t="s">
        <v>231</v>
      </c>
      <c r="C21" s="11" t="s">
        <v>205</v>
      </c>
      <c r="D21" s="13" t="s">
        <v>31</v>
      </c>
      <c r="E21" s="13" t="s">
        <v>252</v>
      </c>
      <c r="F21" s="61">
        <v>1</v>
      </c>
      <c r="G21" s="14" t="s">
        <v>16</v>
      </c>
      <c r="H21" s="15" t="s">
        <v>204</v>
      </c>
      <c r="I21" s="131"/>
      <c r="J21" s="1"/>
    </row>
    <row r="22" spans="1:10" ht="15">
      <c r="A22" s="10">
        <v>18</v>
      </c>
      <c r="B22" s="11" t="s">
        <v>35</v>
      </c>
      <c r="C22" s="11" t="s">
        <v>203</v>
      </c>
      <c r="D22" s="13" t="s">
        <v>36</v>
      </c>
      <c r="E22" s="13" t="s">
        <v>251</v>
      </c>
      <c r="F22" s="61">
        <v>1</v>
      </c>
      <c r="G22" s="14" t="s">
        <v>16</v>
      </c>
      <c r="H22" s="15" t="s">
        <v>204</v>
      </c>
      <c r="I22" s="27" t="s">
        <v>204</v>
      </c>
      <c r="J22" s="1"/>
    </row>
    <row r="23" spans="1:10" ht="15">
      <c r="A23" s="10">
        <v>19</v>
      </c>
      <c r="B23" s="11" t="s">
        <v>37</v>
      </c>
      <c r="C23" s="11" t="s">
        <v>203</v>
      </c>
      <c r="D23" s="13" t="s">
        <v>38</v>
      </c>
      <c r="E23" s="13" t="s">
        <v>253</v>
      </c>
      <c r="F23" s="61">
        <v>1</v>
      </c>
      <c r="G23" s="14" t="s">
        <v>16</v>
      </c>
      <c r="H23" s="15" t="s">
        <v>16</v>
      </c>
      <c r="I23" s="130" t="s">
        <v>254</v>
      </c>
      <c r="J23" s="1"/>
    </row>
    <row r="24" spans="1:10" ht="15">
      <c r="A24" s="10">
        <v>20</v>
      </c>
      <c r="B24" s="11" t="s">
        <v>39</v>
      </c>
      <c r="C24" s="11" t="s">
        <v>203</v>
      </c>
      <c r="D24" s="13" t="s">
        <v>38</v>
      </c>
      <c r="E24" s="13" t="s">
        <v>253</v>
      </c>
      <c r="F24" s="61">
        <v>1</v>
      </c>
      <c r="G24" s="14" t="s">
        <v>16</v>
      </c>
      <c r="H24" s="15" t="s">
        <v>16</v>
      </c>
      <c r="I24" s="131"/>
      <c r="J24" s="1"/>
    </row>
    <row r="25" spans="1:10" ht="15">
      <c r="A25" s="10">
        <v>21</v>
      </c>
      <c r="B25" s="11" t="s">
        <v>209</v>
      </c>
      <c r="C25" s="11" t="s">
        <v>205</v>
      </c>
      <c r="D25" s="13" t="s">
        <v>41</v>
      </c>
      <c r="E25" s="13" t="s">
        <v>252</v>
      </c>
      <c r="F25" s="61">
        <v>1</v>
      </c>
      <c r="G25" s="14" t="s">
        <v>16</v>
      </c>
      <c r="H25" s="15" t="s">
        <v>204</v>
      </c>
      <c r="I25" s="130" t="s">
        <v>204</v>
      </c>
      <c r="J25" s="1"/>
    </row>
    <row r="26" spans="1:10" ht="15">
      <c r="A26" s="10">
        <v>22</v>
      </c>
      <c r="B26" s="11" t="s">
        <v>40</v>
      </c>
      <c r="C26" s="11" t="s">
        <v>205</v>
      </c>
      <c r="D26" s="13" t="s">
        <v>41</v>
      </c>
      <c r="E26" s="13" t="s">
        <v>252</v>
      </c>
      <c r="F26" s="61">
        <v>1</v>
      </c>
      <c r="G26" s="14" t="s">
        <v>16</v>
      </c>
      <c r="H26" s="15" t="s">
        <v>204</v>
      </c>
      <c r="I26" s="132"/>
      <c r="J26" s="1"/>
    </row>
    <row r="27" spans="1:10" ht="15">
      <c r="A27" s="10">
        <v>23</v>
      </c>
      <c r="B27" s="11" t="s">
        <v>255</v>
      </c>
      <c r="C27" s="11" t="s">
        <v>205</v>
      </c>
      <c r="D27" s="13" t="s">
        <v>41</v>
      </c>
      <c r="E27" s="13" t="s">
        <v>252</v>
      </c>
      <c r="F27" s="61">
        <v>1</v>
      </c>
      <c r="G27" s="14"/>
      <c r="H27" s="15" t="s">
        <v>204</v>
      </c>
      <c r="I27" s="131"/>
      <c r="J27" s="1"/>
    </row>
    <row r="28" spans="1:10" ht="15">
      <c r="A28" s="10">
        <v>24</v>
      </c>
      <c r="B28" s="11" t="s">
        <v>44</v>
      </c>
      <c r="C28" s="11" t="s">
        <v>205</v>
      </c>
      <c r="D28" s="13" t="s">
        <v>45</v>
      </c>
      <c r="E28" s="13" t="s">
        <v>251</v>
      </c>
      <c r="F28" s="61">
        <v>1</v>
      </c>
      <c r="G28" s="14" t="s">
        <v>16</v>
      </c>
      <c r="H28" s="15" t="s">
        <v>204</v>
      </c>
      <c r="I28" s="27" t="s">
        <v>204</v>
      </c>
      <c r="J28" s="1"/>
    </row>
    <row r="29" spans="1:10" ht="15">
      <c r="A29" s="10">
        <v>25</v>
      </c>
      <c r="B29" s="11" t="s">
        <v>50</v>
      </c>
      <c r="C29" s="11" t="s">
        <v>203</v>
      </c>
      <c r="D29" s="13" t="s">
        <v>49</v>
      </c>
      <c r="E29" s="13" t="s">
        <v>251</v>
      </c>
      <c r="F29" s="61">
        <v>1</v>
      </c>
      <c r="G29" s="14" t="s">
        <v>16</v>
      </c>
      <c r="H29" s="15" t="s">
        <v>204</v>
      </c>
      <c r="I29" s="130" t="s">
        <v>204</v>
      </c>
      <c r="J29" s="1"/>
    </row>
    <row r="30" spans="1:10" ht="15">
      <c r="A30" s="10">
        <v>26</v>
      </c>
      <c r="B30" s="11" t="s">
        <v>48</v>
      </c>
      <c r="C30" s="11" t="s">
        <v>203</v>
      </c>
      <c r="D30" s="13" t="s">
        <v>49</v>
      </c>
      <c r="E30" s="13" t="s">
        <v>251</v>
      </c>
      <c r="F30" s="61">
        <v>1</v>
      </c>
      <c r="G30" s="14" t="s">
        <v>16</v>
      </c>
      <c r="H30" s="15" t="s">
        <v>204</v>
      </c>
      <c r="I30" s="131"/>
      <c r="J30" s="1"/>
    </row>
    <row r="31" spans="1:10" ht="15">
      <c r="A31" s="10">
        <v>27</v>
      </c>
      <c r="B31" s="11" t="s">
        <v>51</v>
      </c>
      <c r="C31" s="11" t="s">
        <v>205</v>
      </c>
      <c r="D31" s="13" t="s">
        <v>52</v>
      </c>
      <c r="E31" s="13" t="s">
        <v>251</v>
      </c>
      <c r="F31" s="61">
        <v>1</v>
      </c>
      <c r="G31" s="14" t="s">
        <v>16</v>
      </c>
      <c r="H31" s="15" t="s">
        <v>204</v>
      </c>
      <c r="I31" s="27" t="s">
        <v>204</v>
      </c>
      <c r="J31" s="1"/>
    </row>
    <row r="32" spans="1:10" ht="15">
      <c r="A32" s="10">
        <v>28</v>
      </c>
      <c r="B32" s="11" t="s">
        <v>53</v>
      </c>
      <c r="C32" s="11" t="s">
        <v>205</v>
      </c>
      <c r="D32" s="13" t="s">
        <v>54</v>
      </c>
      <c r="E32" s="13" t="s">
        <v>251</v>
      </c>
      <c r="F32" s="61">
        <v>1</v>
      </c>
      <c r="G32" s="14" t="s">
        <v>16</v>
      </c>
      <c r="H32" s="15" t="s">
        <v>204</v>
      </c>
      <c r="I32" s="130" t="s">
        <v>204</v>
      </c>
      <c r="J32" s="1"/>
    </row>
    <row r="33" spans="1:10" ht="15">
      <c r="A33" s="10">
        <v>29</v>
      </c>
      <c r="B33" s="11" t="s">
        <v>55</v>
      </c>
      <c r="C33" s="11" t="s">
        <v>205</v>
      </c>
      <c r="D33" s="13" t="s">
        <v>54</v>
      </c>
      <c r="E33" s="13" t="s">
        <v>251</v>
      </c>
      <c r="F33" s="61">
        <v>1</v>
      </c>
      <c r="G33" s="14" t="s">
        <v>16</v>
      </c>
      <c r="H33" s="15" t="s">
        <v>204</v>
      </c>
      <c r="I33" s="131"/>
      <c r="J33" s="1"/>
    </row>
    <row r="34" spans="1:10" ht="15">
      <c r="A34" s="10">
        <v>30</v>
      </c>
      <c r="B34" s="11" t="s">
        <v>59</v>
      </c>
      <c r="C34" s="11" t="s">
        <v>205</v>
      </c>
      <c r="D34" s="13" t="s">
        <v>58</v>
      </c>
      <c r="E34" s="13" t="s">
        <v>251</v>
      </c>
      <c r="F34" s="61">
        <v>1</v>
      </c>
      <c r="G34" s="14" t="s">
        <v>16</v>
      </c>
      <c r="H34" s="15" t="s">
        <v>204</v>
      </c>
      <c r="I34" s="27" t="s">
        <v>204</v>
      </c>
      <c r="J34" s="1"/>
    </row>
    <row r="35" spans="1:10" ht="15">
      <c r="A35" s="10">
        <v>31</v>
      </c>
      <c r="B35" s="11" t="s">
        <v>60</v>
      </c>
      <c r="C35" s="11" t="s">
        <v>205</v>
      </c>
      <c r="D35" s="13" t="s">
        <v>61</v>
      </c>
      <c r="E35" s="13" t="s">
        <v>251</v>
      </c>
      <c r="F35" s="61">
        <v>1</v>
      </c>
      <c r="G35" s="14" t="s">
        <v>16</v>
      </c>
      <c r="H35" s="15" t="s">
        <v>204</v>
      </c>
      <c r="I35" s="27" t="s">
        <v>204</v>
      </c>
      <c r="J35" s="1"/>
    </row>
    <row r="36" spans="1:10" ht="15">
      <c r="A36" s="10">
        <v>32</v>
      </c>
      <c r="B36" s="11" t="s">
        <v>62</v>
      </c>
      <c r="C36" s="11" t="s">
        <v>205</v>
      </c>
      <c r="D36" s="13" t="s">
        <v>63</v>
      </c>
      <c r="E36" s="13" t="s">
        <v>251</v>
      </c>
      <c r="F36" s="61">
        <v>1</v>
      </c>
      <c r="G36" s="14" t="s">
        <v>16</v>
      </c>
      <c r="H36" s="15" t="s">
        <v>204</v>
      </c>
      <c r="I36" s="27" t="s">
        <v>204</v>
      </c>
      <c r="J36" s="1"/>
    </row>
    <row r="37" spans="1:10" ht="15">
      <c r="A37" s="10">
        <v>33</v>
      </c>
      <c r="B37" s="11" t="s">
        <v>64</v>
      </c>
      <c r="C37" s="11" t="s">
        <v>203</v>
      </c>
      <c r="D37" s="13" t="s">
        <v>65</v>
      </c>
      <c r="E37" s="13" t="s">
        <v>251</v>
      </c>
      <c r="F37" s="61">
        <v>1</v>
      </c>
      <c r="G37" s="14" t="s">
        <v>16</v>
      </c>
      <c r="H37" s="15" t="s">
        <v>204</v>
      </c>
      <c r="I37" s="27" t="s">
        <v>254</v>
      </c>
      <c r="J37" s="1"/>
    </row>
    <row r="38" spans="1:10" ht="15">
      <c r="A38" s="10">
        <v>34</v>
      </c>
      <c r="B38" s="11" t="s">
        <v>66</v>
      </c>
      <c r="C38" s="11" t="s">
        <v>212</v>
      </c>
      <c r="D38" s="13" t="s">
        <v>67</v>
      </c>
      <c r="E38" s="13" t="s">
        <v>251</v>
      </c>
      <c r="F38" s="61">
        <v>1</v>
      </c>
      <c r="G38" s="14" t="s">
        <v>16</v>
      </c>
      <c r="H38" s="15" t="s">
        <v>204</v>
      </c>
      <c r="I38" s="27" t="s">
        <v>204</v>
      </c>
      <c r="J38" s="1"/>
    </row>
    <row r="39" spans="1:10" ht="15">
      <c r="A39" s="10">
        <v>35</v>
      </c>
      <c r="B39" s="11" t="s">
        <v>71</v>
      </c>
      <c r="C39" s="11" t="s">
        <v>203</v>
      </c>
      <c r="D39" s="17" t="s">
        <v>72</v>
      </c>
      <c r="E39" s="17" t="s">
        <v>251</v>
      </c>
      <c r="F39" s="61">
        <v>1</v>
      </c>
      <c r="G39" s="14" t="s">
        <v>16</v>
      </c>
      <c r="H39" s="15" t="s">
        <v>204</v>
      </c>
      <c r="I39" s="27" t="s">
        <v>204</v>
      </c>
      <c r="J39" s="1"/>
    </row>
    <row r="40" spans="1:10" ht="15">
      <c r="A40" s="10">
        <v>36</v>
      </c>
      <c r="B40" s="11" t="s">
        <v>73</v>
      </c>
      <c r="C40" s="11" t="s">
        <v>205</v>
      </c>
      <c r="D40" s="17" t="s">
        <v>74</v>
      </c>
      <c r="E40" s="17" t="s">
        <v>251</v>
      </c>
      <c r="F40" s="61">
        <v>1</v>
      </c>
      <c r="G40" s="14" t="s">
        <v>16</v>
      </c>
      <c r="H40" s="15" t="s">
        <v>204</v>
      </c>
      <c r="I40" s="27" t="s">
        <v>254</v>
      </c>
      <c r="J40" s="1"/>
    </row>
    <row r="41" spans="1:10" ht="15">
      <c r="A41" s="10">
        <v>37</v>
      </c>
      <c r="B41" s="11" t="s">
        <v>75</v>
      </c>
      <c r="C41" s="11" t="s">
        <v>205</v>
      </c>
      <c r="D41" s="13" t="s">
        <v>76</v>
      </c>
      <c r="E41" s="13" t="s">
        <v>251</v>
      </c>
      <c r="F41" s="61">
        <v>1</v>
      </c>
      <c r="G41" s="14" t="s">
        <v>16</v>
      </c>
      <c r="H41" s="15" t="s">
        <v>204</v>
      </c>
      <c r="I41" s="130" t="s">
        <v>254</v>
      </c>
      <c r="J41" s="1"/>
    </row>
    <row r="42" spans="1:10" ht="15">
      <c r="A42" s="10">
        <v>38</v>
      </c>
      <c r="B42" s="11" t="s">
        <v>77</v>
      </c>
      <c r="C42" s="11" t="s">
        <v>205</v>
      </c>
      <c r="D42" s="13" t="s">
        <v>76</v>
      </c>
      <c r="E42" s="13" t="s">
        <v>251</v>
      </c>
      <c r="F42" s="61">
        <v>1</v>
      </c>
      <c r="G42" s="14" t="s">
        <v>16</v>
      </c>
      <c r="H42" s="15" t="s">
        <v>204</v>
      </c>
      <c r="I42" s="131"/>
      <c r="J42" s="1"/>
    </row>
    <row r="43" spans="1:10" ht="15">
      <c r="A43" s="10">
        <v>39</v>
      </c>
      <c r="B43" s="11" t="s">
        <v>78</v>
      </c>
      <c r="C43" s="11" t="s">
        <v>203</v>
      </c>
      <c r="D43" s="17" t="s">
        <v>79</v>
      </c>
      <c r="E43" s="17" t="s">
        <v>251</v>
      </c>
      <c r="F43" s="61">
        <v>1</v>
      </c>
      <c r="G43" s="14" t="s">
        <v>16</v>
      </c>
      <c r="H43" s="15" t="s">
        <v>204</v>
      </c>
      <c r="I43" s="27" t="s">
        <v>254</v>
      </c>
      <c r="J43" s="1"/>
    </row>
    <row r="44" spans="1:10" ht="15">
      <c r="A44" s="10">
        <v>40</v>
      </c>
      <c r="B44" s="11" t="s">
        <v>80</v>
      </c>
      <c r="C44" s="11" t="s">
        <v>203</v>
      </c>
      <c r="D44" s="17" t="s">
        <v>81</v>
      </c>
      <c r="E44" s="17" t="s">
        <v>252</v>
      </c>
      <c r="F44" s="61">
        <v>1</v>
      </c>
      <c r="G44" s="14" t="s">
        <v>16</v>
      </c>
      <c r="H44" s="15" t="s">
        <v>204</v>
      </c>
      <c r="I44" s="130" t="s">
        <v>204</v>
      </c>
      <c r="J44" s="1"/>
    </row>
    <row r="45" spans="1:10" ht="15">
      <c r="A45" s="10">
        <v>41</v>
      </c>
      <c r="B45" s="11" t="s">
        <v>82</v>
      </c>
      <c r="C45" s="11" t="s">
        <v>203</v>
      </c>
      <c r="D45" s="17" t="s">
        <v>81</v>
      </c>
      <c r="E45" s="17" t="s">
        <v>252</v>
      </c>
      <c r="F45" s="61">
        <v>1</v>
      </c>
      <c r="G45" s="14" t="s">
        <v>16</v>
      </c>
      <c r="H45" s="15" t="s">
        <v>204</v>
      </c>
      <c r="I45" s="131"/>
      <c r="J45" s="1"/>
    </row>
    <row r="46" spans="1:10" ht="15">
      <c r="A46" s="10">
        <v>42</v>
      </c>
      <c r="B46" s="11" t="s">
        <v>113</v>
      </c>
      <c r="C46" s="11" t="s">
        <v>203</v>
      </c>
      <c r="D46" s="17" t="s">
        <v>114</v>
      </c>
      <c r="E46" s="17" t="s">
        <v>251</v>
      </c>
      <c r="F46" s="61">
        <v>1</v>
      </c>
      <c r="G46" s="14" t="s">
        <v>16</v>
      </c>
      <c r="H46" s="15" t="s">
        <v>204</v>
      </c>
      <c r="I46" s="27" t="s">
        <v>204</v>
      </c>
      <c r="J46" s="1"/>
    </row>
    <row r="47" spans="1:10" ht="15">
      <c r="A47" s="10">
        <v>43</v>
      </c>
      <c r="B47" s="11" t="s">
        <v>118</v>
      </c>
      <c r="C47" s="11" t="s">
        <v>205</v>
      </c>
      <c r="D47" s="17" t="s">
        <v>119</v>
      </c>
      <c r="E47" s="17" t="s">
        <v>251</v>
      </c>
      <c r="F47" s="61">
        <v>1</v>
      </c>
      <c r="G47" s="14" t="s">
        <v>16</v>
      </c>
      <c r="H47" s="15" t="s">
        <v>204</v>
      </c>
      <c r="I47" s="27" t="s">
        <v>204</v>
      </c>
      <c r="J47" s="1"/>
    </row>
    <row r="48" spans="1:10" ht="15">
      <c r="A48" s="10">
        <v>44</v>
      </c>
      <c r="B48" s="11" t="s">
        <v>256</v>
      </c>
      <c r="C48" s="11" t="s">
        <v>203</v>
      </c>
      <c r="D48" s="17" t="s">
        <v>112</v>
      </c>
      <c r="E48" s="17" t="s">
        <v>251</v>
      </c>
      <c r="F48" s="61">
        <v>1</v>
      </c>
      <c r="G48" s="14">
        <v>200</v>
      </c>
      <c r="H48" s="15" t="s">
        <v>204</v>
      </c>
      <c r="I48" s="27" t="s">
        <v>204</v>
      </c>
      <c r="J48" s="1"/>
    </row>
    <row r="49" spans="1:10" ht="15">
      <c r="A49" s="10">
        <v>45</v>
      </c>
      <c r="B49" s="11" t="s">
        <v>121</v>
      </c>
      <c r="C49" s="11" t="s">
        <v>205</v>
      </c>
      <c r="D49" s="17" t="s">
        <v>215</v>
      </c>
      <c r="E49" s="17" t="s">
        <v>251</v>
      </c>
      <c r="F49" s="61">
        <v>1</v>
      </c>
      <c r="G49" s="14">
        <v>200</v>
      </c>
      <c r="H49" s="15" t="s">
        <v>204</v>
      </c>
      <c r="I49" s="27" t="s">
        <v>204</v>
      </c>
      <c r="J49" s="1"/>
    </row>
    <row r="50" spans="1:10" ht="15">
      <c r="A50" s="10">
        <v>46</v>
      </c>
      <c r="B50" s="11" t="s">
        <v>236</v>
      </c>
      <c r="C50" s="11" t="s">
        <v>203</v>
      </c>
      <c r="D50" s="17" t="s">
        <v>130</v>
      </c>
      <c r="E50" s="17" t="s">
        <v>251</v>
      </c>
      <c r="F50" s="61">
        <v>1</v>
      </c>
      <c r="G50" s="14">
        <v>100</v>
      </c>
      <c r="H50" s="15" t="s">
        <v>204</v>
      </c>
      <c r="I50" s="130" t="s">
        <v>204</v>
      </c>
      <c r="J50" s="1"/>
    </row>
    <row r="51" spans="1:10" ht="15">
      <c r="A51" s="10">
        <v>47</v>
      </c>
      <c r="B51" s="11" t="s">
        <v>133</v>
      </c>
      <c r="C51" s="11" t="s">
        <v>205</v>
      </c>
      <c r="D51" s="17" t="s">
        <v>130</v>
      </c>
      <c r="E51" s="17" t="s">
        <v>251</v>
      </c>
      <c r="F51" s="61">
        <v>1</v>
      </c>
      <c r="G51" s="14">
        <v>100</v>
      </c>
      <c r="H51" s="15" t="s">
        <v>204</v>
      </c>
      <c r="I51" s="132"/>
      <c r="J51" s="1"/>
    </row>
    <row r="52" spans="1:10" ht="15">
      <c r="A52" s="10">
        <v>48</v>
      </c>
      <c r="B52" s="11" t="s">
        <v>237</v>
      </c>
      <c r="C52" s="11" t="s">
        <v>203</v>
      </c>
      <c r="D52" s="17" t="s">
        <v>47</v>
      </c>
      <c r="E52" s="17" t="s">
        <v>257</v>
      </c>
      <c r="F52" s="61">
        <v>1</v>
      </c>
      <c r="G52" s="14" t="s">
        <v>16</v>
      </c>
      <c r="H52" s="15" t="s">
        <v>204</v>
      </c>
      <c r="I52" s="130" t="s">
        <v>204</v>
      </c>
      <c r="J52" s="1"/>
    </row>
    <row r="53" spans="1:10" ht="15">
      <c r="A53" s="10">
        <v>49</v>
      </c>
      <c r="B53" s="11" t="s">
        <v>110</v>
      </c>
      <c r="C53" s="11" t="s">
        <v>203</v>
      </c>
      <c r="D53" s="17" t="s">
        <v>47</v>
      </c>
      <c r="E53" s="17" t="s">
        <v>257</v>
      </c>
      <c r="F53" s="61">
        <v>1</v>
      </c>
      <c r="G53" s="14" t="s">
        <v>16</v>
      </c>
      <c r="H53" s="15" t="s">
        <v>204</v>
      </c>
      <c r="I53" s="131"/>
      <c r="J53" s="1"/>
    </row>
    <row r="54" spans="1:10" ht="15">
      <c r="A54" s="10">
        <v>50</v>
      </c>
      <c r="B54" s="11" t="s">
        <v>217</v>
      </c>
      <c r="C54" s="11" t="s">
        <v>203</v>
      </c>
      <c r="D54" s="17" t="s">
        <v>215</v>
      </c>
      <c r="E54" s="65" t="s">
        <v>251</v>
      </c>
      <c r="F54" s="64">
        <v>1</v>
      </c>
      <c r="G54" s="14">
        <v>200</v>
      </c>
      <c r="H54" s="15" t="s">
        <v>204</v>
      </c>
      <c r="I54" s="27" t="s">
        <v>204</v>
      </c>
      <c r="J54" s="1"/>
    </row>
    <row r="55" spans="1:10" ht="15">
      <c r="A55" s="10">
        <v>51</v>
      </c>
      <c r="B55" s="11" t="s">
        <v>218</v>
      </c>
      <c r="C55" s="11" t="s">
        <v>203</v>
      </c>
      <c r="D55" s="17" t="s">
        <v>215</v>
      </c>
      <c r="E55" s="65" t="s">
        <v>251</v>
      </c>
      <c r="F55" s="64">
        <v>1</v>
      </c>
      <c r="G55" s="14">
        <v>200</v>
      </c>
      <c r="H55" s="15" t="s">
        <v>204</v>
      </c>
      <c r="I55" s="27" t="s">
        <v>204</v>
      </c>
      <c r="J55" s="1"/>
    </row>
    <row r="56" spans="1:10" ht="15">
      <c r="A56" s="10">
        <v>52</v>
      </c>
      <c r="B56" s="11" t="s">
        <v>219</v>
      </c>
      <c r="C56" s="11" t="s">
        <v>205</v>
      </c>
      <c r="D56" s="17" t="s">
        <v>220</v>
      </c>
      <c r="E56" s="65" t="s">
        <v>251</v>
      </c>
      <c r="F56" s="64">
        <v>1</v>
      </c>
      <c r="G56" s="14">
        <v>300</v>
      </c>
      <c r="H56" s="15" t="s">
        <v>204</v>
      </c>
      <c r="I56" s="27" t="s">
        <v>204</v>
      </c>
      <c r="J56" s="1"/>
    </row>
    <row r="57" spans="1:10" ht="15">
      <c r="A57" s="10">
        <v>53</v>
      </c>
      <c r="B57" s="11" t="s">
        <v>182</v>
      </c>
      <c r="C57" s="11" t="s">
        <v>203</v>
      </c>
      <c r="D57" s="17" t="s">
        <v>183</v>
      </c>
      <c r="E57" s="65"/>
      <c r="F57" s="64">
        <v>1</v>
      </c>
      <c r="G57" s="14"/>
      <c r="H57" s="15"/>
      <c r="I57" s="27"/>
      <c r="J57" s="1"/>
    </row>
    <row r="58" spans="1:10" ht="15">
      <c r="A58" s="10">
        <v>54</v>
      </c>
      <c r="B58" s="11" t="s">
        <v>154</v>
      </c>
      <c r="C58" s="11" t="s">
        <v>203</v>
      </c>
      <c r="D58" s="65" t="s">
        <v>155</v>
      </c>
      <c r="E58" s="65"/>
      <c r="F58" s="64">
        <v>2</v>
      </c>
      <c r="G58" s="67"/>
      <c r="H58" s="79"/>
      <c r="I58" s="27"/>
      <c r="J58" s="1"/>
    </row>
    <row r="59" spans="1:10" ht="15">
      <c r="A59" s="10">
        <v>55</v>
      </c>
      <c r="B59" s="11" t="s">
        <v>221</v>
      </c>
      <c r="C59" s="11" t="s">
        <v>205</v>
      </c>
      <c r="D59" s="65" t="s">
        <v>155</v>
      </c>
      <c r="E59" s="65"/>
      <c r="F59" s="64">
        <v>1</v>
      </c>
      <c r="G59" s="67"/>
      <c r="H59" s="79"/>
      <c r="I59" s="27"/>
      <c r="J59" s="1"/>
    </row>
    <row r="60" spans="1:10" ht="15">
      <c r="A60" s="10">
        <v>56</v>
      </c>
      <c r="B60" s="11" t="s">
        <v>222</v>
      </c>
      <c r="C60" s="11" t="s">
        <v>203</v>
      </c>
      <c r="D60" s="65" t="s">
        <v>159</v>
      </c>
      <c r="E60" s="65"/>
      <c r="F60" s="64">
        <v>1</v>
      </c>
      <c r="G60" s="67"/>
      <c r="H60" s="79"/>
      <c r="I60" s="27"/>
      <c r="J60" s="1"/>
    </row>
    <row r="61" spans="1:10" ht="15">
      <c r="A61" s="10">
        <v>57</v>
      </c>
      <c r="B61" s="11" t="s">
        <v>258</v>
      </c>
      <c r="C61" s="11" t="s">
        <v>203</v>
      </c>
      <c r="D61" s="65" t="s">
        <v>159</v>
      </c>
      <c r="E61" s="65"/>
      <c r="F61" s="64">
        <v>1</v>
      </c>
      <c r="G61" s="67"/>
      <c r="H61" s="79"/>
      <c r="I61" s="27"/>
      <c r="J61" s="1"/>
    </row>
    <row r="62" spans="1:10" ht="15">
      <c r="A62" s="10">
        <v>58</v>
      </c>
      <c r="B62" s="11" t="s">
        <v>224</v>
      </c>
      <c r="C62" s="11" t="s">
        <v>203</v>
      </c>
      <c r="D62" s="13" t="s">
        <v>181</v>
      </c>
      <c r="E62" s="65"/>
      <c r="F62" s="64">
        <v>1</v>
      </c>
      <c r="G62" s="67"/>
      <c r="H62" s="79"/>
      <c r="I62" s="27"/>
      <c r="J62" s="1"/>
    </row>
    <row r="63" spans="1:10" ht="15">
      <c r="A63" s="10">
        <v>59</v>
      </c>
      <c r="B63" s="11"/>
      <c r="C63" s="11" t="s">
        <v>205</v>
      </c>
      <c r="D63" s="13" t="s">
        <v>54</v>
      </c>
      <c r="E63" s="65"/>
      <c r="F63" s="64">
        <v>1</v>
      </c>
      <c r="G63" s="67"/>
      <c r="H63" s="79"/>
      <c r="I63" s="27"/>
      <c r="J63" s="1"/>
    </row>
    <row r="64" spans="1:10" ht="16.2" thickBot="1">
      <c r="A64" s="81" t="s">
        <v>259</v>
      </c>
      <c r="B64" s="82"/>
      <c r="C64" s="82"/>
      <c r="D64" s="83"/>
      <c r="E64" s="70"/>
      <c r="F64" s="71">
        <f>SUM(F5:F63)</f>
        <v>60</v>
      </c>
      <c r="G64" s="80">
        <f>SUM(G39:G57)</f>
        <v>1300</v>
      </c>
      <c r="H64" s="69"/>
      <c r="I64" s="27"/>
      <c r="J64" s="1"/>
    </row>
    <row r="65" spans="1:10" ht="15">
      <c r="A65" s="1"/>
      <c r="B65" s="1"/>
      <c r="C65" s="1"/>
      <c r="D65" s="1"/>
      <c r="E65" s="1"/>
      <c r="F65" s="1"/>
      <c r="G65" s="1"/>
      <c r="H65" s="1"/>
      <c r="I65" s="22"/>
      <c r="J65" s="1"/>
    </row>
  </sheetData>
  <mergeCells count="23">
    <mergeCell ref="I25:I27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I5:I8"/>
    <mergeCell ref="I9:I11"/>
    <mergeCell ref="I12:I17"/>
    <mergeCell ref="I18:I21"/>
    <mergeCell ref="I23:I24"/>
    <mergeCell ref="A64:D64"/>
    <mergeCell ref="I29:I30"/>
    <mergeCell ref="I32:I33"/>
    <mergeCell ref="I41:I42"/>
    <mergeCell ref="I44:I45"/>
    <mergeCell ref="I50:I51"/>
    <mergeCell ref="I52:I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CAE-F401-43BA-90A7-9DF39F2E2B56}">
  <dimension ref="A1:F59"/>
  <sheetViews>
    <sheetView topLeftCell="A5" workbookViewId="0">
      <selection sqref="A1:E1"/>
    </sheetView>
  </sheetViews>
  <sheetFormatPr defaultRowHeight="14.4"/>
  <cols>
    <col min="2" max="2" width="86" customWidth="1"/>
    <col min="3" max="3" width="25.21875" customWidth="1"/>
    <col min="4" max="4" width="25.6640625" customWidth="1"/>
    <col min="5" max="5" width="20.44140625" customWidth="1"/>
  </cols>
  <sheetData>
    <row r="1" spans="1:6" ht="17.399999999999999">
      <c r="A1" s="84" t="s">
        <v>263</v>
      </c>
      <c r="B1" s="85"/>
      <c r="C1" s="85"/>
      <c r="D1" s="85"/>
      <c r="E1" s="85"/>
      <c r="F1" s="1"/>
    </row>
    <row r="2" spans="1:6">
      <c r="A2" s="86" t="s">
        <v>1</v>
      </c>
      <c r="B2" s="88" t="s">
        <v>2</v>
      </c>
      <c r="C2" s="90" t="s">
        <v>200</v>
      </c>
      <c r="D2" s="88" t="s">
        <v>4</v>
      </c>
      <c r="E2" s="88" t="s">
        <v>201</v>
      </c>
      <c r="F2" s="1"/>
    </row>
    <row r="3" spans="1:6">
      <c r="A3" s="87"/>
      <c r="B3" s="89"/>
      <c r="C3" s="91"/>
      <c r="D3" s="89"/>
      <c r="E3" s="89"/>
      <c r="F3" s="1"/>
    </row>
    <row r="4" spans="1:6" ht="15">
      <c r="A4" s="10">
        <v>1</v>
      </c>
      <c r="B4" s="11" t="s">
        <v>14</v>
      </c>
      <c r="C4" s="11" t="s">
        <v>203</v>
      </c>
      <c r="D4" s="13" t="s">
        <v>15</v>
      </c>
      <c r="E4" s="61">
        <v>2</v>
      </c>
      <c r="F4" s="1"/>
    </row>
    <row r="5" spans="1:6" ht="15">
      <c r="A5" s="10">
        <v>2</v>
      </c>
      <c r="B5" s="11" t="s">
        <v>17</v>
      </c>
      <c r="C5" s="11" t="s">
        <v>203</v>
      </c>
      <c r="D5" s="13" t="s">
        <v>15</v>
      </c>
      <c r="E5" s="61">
        <v>2</v>
      </c>
      <c r="F5" s="1"/>
    </row>
    <row r="6" spans="1:6" ht="15">
      <c r="A6" s="10">
        <v>3</v>
      </c>
      <c r="B6" s="11" t="s">
        <v>18</v>
      </c>
      <c r="C6" s="11" t="s">
        <v>203</v>
      </c>
      <c r="D6" s="13" t="s">
        <v>15</v>
      </c>
      <c r="E6" s="61">
        <v>2</v>
      </c>
      <c r="F6" s="1"/>
    </row>
    <row r="7" spans="1:6" ht="15">
      <c r="A7" s="10">
        <v>4</v>
      </c>
      <c r="B7" s="11" t="s">
        <v>19</v>
      </c>
      <c r="C7" s="11" t="s">
        <v>203</v>
      </c>
      <c r="D7" s="13" t="s">
        <v>15</v>
      </c>
      <c r="E7" s="61">
        <v>2</v>
      </c>
      <c r="F7" s="1"/>
    </row>
    <row r="8" spans="1:6" ht="15">
      <c r="A8" s="10">
        <v>5</v>
      </c>
      <c r="B8" s="11" t="s">
        <v>20</v>
      </c>
      <c r="C8" s="11" t="s">
        <v>205</v>
      </c>
      <c r="D8" s="13" t="s">
        <v>21</v>
      </c>
      <c r="E8" s="61">
        <v>1</v>
      </c>
      <c r="F8" s="1"/>
    </row>
    <row r="9" spans="1:6" ht="15">
      <c r="A9" s="10">
        <v>6</v>
      </c>
      <c r="B9" s="11" t="s">
        <v>22</v>
      </c>
      <c r="C9" s="11" t="s">
        <v>205</v>
      </c>
      <c r="D9" s="13" t="s">
        <v>21</v>
      </c>
      <c r="E9" s="61">
        <v>1</v>
      </c>
      <c r="F9" s="1"/>
    </row>
    <row r="10" spans="1:6" ht="15">
      <c r="A10" s="10">
        <v>7</v>
      </c>
      <c r="B10" s="11" t="s">
        <v>25</v>
      </c>
      <c r="C10" s="11" t="s">
        <v>205</v>
      </c>
      <c r="D10" s="13" t="s">
        <v>24</v>
      </c>
      <c r="E10" s="61">
        <v>2</v>
      </c>
      <c r="F10" s="1"/>
    </row>
    <row r="11" spans="1:6" ht="15">
      <c r="A11" s="10">
        <v>8</v>
      </c>
      <c r="B11" s="11" t="s">
        <v>26</v>
      </c>
      <c r="C11" s="11" t="s">
        <v>205</v>
      </c>
      <c r="D11" s="13" t="s">
        <v>24</v>
      </c>
      <c r="E11" s="61">
        <v>2</v>
      </c>
      <c r="F11" s="1"/>
    </row>
    <row r="12" spans="1:6" ht="15">
      <c r="A12" s="10">
        <v>9</v>
      </c>
      <c r="B12" s="11" t="s">
        <v>27</v>
      </c>
      <c r="C12" s="11" t="s">
        <v>205</v>
      </c>
      <c r="D12" s="13" t="s">
        <v>24</v>
      </c>
      <c r="E12" s="61">
        <v>2</v>
      </c>
      <c r="F12" s="1"/>
    </row>
    <row r="13" spans="1:6" ht="15">
      <c r="A13" s="10">
        <v>10</v>
      </c>
      <c r="B13" s="11" t="s">
        <v>29</v>
      </c>
      <c r="C13" s="11" t="s">
        <v>203</v>
      </c>
      <c r="D13" s="13" t="s">
        <v>24</v>
      </c>
      <c r="E13" s="61">
        <v>2</v>
      </c>
      <c r="F13" s="1"/>
    </row>
    <row r="14" spans="1:6" ht="15">
      <c r="A14" s="10">
        <v>11</v>
      </c>
      <c r="B14" s="11" t="s">
        <v>30</v>
      </c>
      <c r="C14" s="11" t="s">
        <v>205</v>
      </c>
      <c r="D14" s="13" t="s">
        <v>31</v>
      </c>
      <c r="E14" s="61">
        <v>1</v>
      </c>
      <c r="F14" s="1"/>
    </row>
    <row r="15" spans="1:6" ht="15">
      <c r="A15" s="10">
        <v>12</v>
      </c>
      <c r="B15" s="11" t="s">
        <v>32</v>
      </c>
      <c r="C15" s="11" t="s">
        <v>205</v>
      </c>
      <c r="D15" s="13" t="s">
        <v>31</v>
      </c>
      <c r="E15" s="61">
        <v>1</v>
      </c>
      <c r="F15" s="1"/>
    </row>
    <row r="16" spans="1:6" ht="15">
      <c r="A16" s="10">
        <v>13</v>
      </c>
      <c r="B16" s="11" t="s">
        <v>108</v>
      </c>
      <c r="C16" s="11" t="s">
        <v>205</v>
      </c>
      <c r="D16" s="13" t="s">
        <v>31</v>
      </c>
      <c r="E16" s="61">
        <v>3</v>
      </c>
      <c r="F16" s="1"/>
    </row>
    <row r="17" spans="1:6" ht="15">
      <c r="A17" s="10">
        <v>14</v>
      </c>
      <c r="B17" s="11" t="s">
        <v>231</v>
      </c>
      <c r="C17" s="11" t="s">
        <v>205</v>
      </c>
      <c r="D17" s="13" t="s">
        <v>31</v>
      </c>
      <c r="E17" s="61">
        <v>2</v>
      </c>
      <c r="F17" s="1"/>
    </row>
    <row r="18" spans="1:6" ht="15">
      <c r="A18" s="10">
        <v>15</v>
      </c>
      <c r="B18" s="11" t="s">
        <v>35</v>
      </c>
      <c r="C18" s="11" t="s">
        <v>203</v>
      </c>
      <c r="D18" s="13" t="s">
        <v>36</v>
      </c>
      <c r="E18" s="61">
        <v>2</v>
      </c>
      <c r="F18" s="1"/>
    </row>
    <row r="19" spans="1:6" ht="15">
      <c r="A19" s="10">
        <v>16</v>
      </c>
      <c r="B19" s="11" t="s">
        <v>209</v>
      </c>
      <c r="C19" s="11" t="s">
        <v>264</v>
      </c>
      <c r="D19" s="13" t="s">
        <v>41</v>
      </c>
      <c r="E19" s="61">
        <v>2</v>
      </c>
      <c r="F19" s="1"/>
    </row>
    <row r="20" spans="1:6" ht="15">
      <c r="A20" s="10">
        <v>17</v>
      </c>
      <c r="B20" s="11" t="s">
        <v>40</v>
      </c>
      <c r="C20" s="11" t="s">
        <v>264</v>
      </c>
      <c r="D20" s="13" t="s">
        <v>41</v>
      </c>
      <c r="E20" s="61">
        <v>2</v>
      </c>
      <c r="F20" s="1"/>
    </row>
    <row r="21" spans="1:6" ht="15">
      <c r="A21" s="10">
        <v>18</v>
      </c>
      <c r="B21" s="11" t="s">
        <v>255</v>
      </c>
      <c r="C21" s="11" t="s">
        <v>264</v>
      </c>
      <c r="D21" s="13" t="s">
        <v>41</v>
      </c>
      <c r="E21" s="61">
        <v>2</v>
      </c>
      <c r="F21" s="1"/>
    </row>
    <row r="22" spans="1:6" ht="15">
      <c r="A22" s="10">
        <v>19</v>
      </c>
      <c r="B22" s="11" t="s">
        <v>44</v>
      </c>
      <c r="C22" s="11" t="s">
        <v>205</v>
      </c>
      <c r="D22" s="13" t="s">
        <v>45</v>
      </c>
      <c r="E22" s="61">
        <v>2</v>
      </c>
      <c r="F22" s="1"/>
    </row>
    <row r="23" spans="1:6" ht="15">
      <c r="A23" s="10">
        <v>20</v>
      </c>
      <c r="B23" s="11" t="s">
        <v>50</v>
      </c>
      <c r="C23" s="11" t="s">
        <v>203</v>
      </c>
      <c r="D23" s="13" t="s">
        <v>49</v>
      </c>
      <c r="E23" s="61">
        <v>2</v>
      </c>
      <c r="F23" s="1"/>
    </row>
    <row r="24" spans="1:6" ht="15">
      <c r="A24" s="10">
        <v>21</v>
      </c>
      <c r="B24" s="11" t="s">
        <v>48</v>
      </c>
      <c r="C24" s="11" t="s">
        <v>203</v>
      </c>
      <c r="D24" s="13" t="s">
        <v>49</v>
      </c>
      <c r="E24" s="61">
        <v>2</v>
      </c>
      <c r="F24" s="1"/>
    </row>
    <row r="25" spans="1:6" ht="15">
      <c r="A25" s="10">
        <v>22</v>
      </c>
      <c r="B25" s="11" t="s">
        <v>51</v>
      </c>
      <c r="C25" s="11" t="s">
        <v>205</v>
      </c>
      <c r="D25" s="13" t="s">
        <v>52</v>
      </c>
      <c r="E25" s="61">
        <v>2</v>
      </c>
      <c r="F25" s="1"/>
    </row>
    <row r="26" spans="1:6" ht="15">
      <c r="A26" s="10">
        <v>23</v>
      </c>
      <c r="B26" s="11" t="s">
        <v>53</v>
      </c>
      <c r="C26" s="11" t="s">
        <v>264</v>
      </c>
      <c r="D26" s="13" t="s">
        <v>54</v>
      </c>
      <c r="E26" s="61">
        <v>2</v>
      </c>
      <c r="F26" s="1"/>
    </row>
    <row r="27" spans="1:6" ht="15">
      <c r="A27" s="10">
        <v>24</v>
      </c>
      <c r="B27" s="11" t="s">
        <v>55</v>
      </c>
      <c r="C27" s="11" t="s">
        <v>264</v>
      </c>
      <c r="D27" s="13" t="s">
        <v>54</v>
      </c>
      <c r="E27" s="61">
        <v>2</v>
      </c>
      <c r="F27" s="1"/>
    </row>
    <row r="28" spans="1:6" ht="15">
      <c r="A28" s="10">
        <v>25</v>
      </c>
      <c r="B28" s="11" t="s">
        <v>265</v>
      </c>
      <c r="C28" s="11" t="s">
        <v>264</v>
      </c>
      <c r="D28" s="13" t="s">
        <v>54</v>
      </c>
      <c r="E28" s="61">
        <v>2</v>
      </c>
      <c r="F28" s="1"/>
    </row>
    <row r="29" spans="1:6" ht="15">
      <c r="A29" s="10">
        <v>26</v>
      </c>
      <c r="B29" s="11" t="s">
        <v>59</v>
      </c>
      <c r="C29" s="11" t="s">
        <v>205</v>
      </c>
      <c r="D29" s="13" t="s">
        <v>58</v>
      </c>
      <c r="E29" s="61">
        <v>2</v>
      </c>
      <c r="F29" s="1"/>
    </row>
    <row r="30" spans="1:6" ht="15">
      <c r="A30" s="10">
        <v>27</v>
      </c>
      <c r="B30" s="11" t="s">
        <v>60</v>
      </c>
      <c r="C30" s="11" t="s">
        <v>205</v>
      </c>
      <c r="D30" s="13" t="s">
        <v>61</v>
      </c>
      <c r="E30" s="61">
        <v>2</v>
      </c>
      <c r="F30" s="1"/>
    </row>
    <row r="31" spans="1:6" ht="15">
      <c r="A31" s="10">
        <v>28</v>
      </c>
      <c r="B31" s="11" t="s">
        <v>266</v>
      </c>
      <c r="C31" s="11" t="s">
        <v>205</v>
      </c>
      <c r="D31" s="13" t="s">
        <v>61</v>
      </c>
      <c r="E31" s="61">
        <v>2</v>
      </c>
      <c r="F31" s="1"/>
    </row>
    <row r="32" spans="1:6" ht="15">
      <c r="A32" s="10">
        <v>29</v>
      </c>
      <c r="B32" s="11" t="s">
        <v>66</v>
      </c>
      <c r="C32" s="11" t="s">
        <v>212</v>
      </c>
      <c r="D32" s="13" t="s">
        <v>67</v>
      </c>
      <c r="E32" s="61">
        <v>2</v>
      </c>
      <c r="F32" s="1"/>
    </row>
    <row r="33" spans="1:6" ht="15">
      <c r="A33" s="10">
        <v>30</v>
      </c>
      <c r="B33" s="11" t="s">
        <v>73</v>
      </c>
      <c r="C33" s="11" t="s">
        <v>205</v>
      </c>
      <c r="D33" s="17" t="s">
        <v>74</v>
      </c>
      <c r="E33" s="61">
        <v>2</v>
      </c>
      <c r="F33" s="1"/>
    </row>
    <row r="34" spans="1:6" ht="15">
      <c r="A34" s="10">
        <v>31</v>
      </c>
      <c r="B34" s="11" t="s">
        <v>75</v>
      </c>
      <c r="C34" s="11" t="s">
        <v>205</v>
      </c>
      <c r="D34" s="13" t="s">
        <v>76</v>
      </c>
      <c r="E34" s="61">
        <v>2</v>
      </c>
      <c r="F34" s="1"/>
    </row>
    <row r="35" spans="1:6" ht="15">
      <c r="A35" s="10">
        <v>32</v>
      </c>
      <c r="B35" s="11" t="s">
        <v>77</v>
      </c>
      <c r="C35" s="11" t="s">
        <v>205</v>
      </c>
      <c r="D35" s="13" t="s">
        <v>76</v>
      </c>
      <c r="E35" s="61">
        <v>2</v>
      </c>
      <c r="F35" s="1"/>
    </row>
    <row r="36" spans="1:6" ht="15">
      <c r="A36" s="10">
        <v>33</v>
      </c>
      <c r="B36" s="11" t="s">
        <v>120</v>
      </c>
      <c r="C36" s="11" t="s">
        <v>205</v>
      </c>
      <c r="D36" s="17" t="s">
        <v>119</v>
      </c>
      <c r="E36" s="61">
        <v>2</v>
      </c>
      <c r="F36" s="1"/>
    </row>
    <row r="37" spans="1:6" ht="15">
      <c r="A37" s="10">
        <v>34</v>
      </c>
      <c r="B37" s="11" t="s">
        <v>121</v>
      </c>
      <c r="C37" s="11" t="s">
        <v>205</v>
      </c>
      <c r="D37" s="17" t="s">
        <v>215</v>
      </c>
      <c r="E37" s="61">
        <v>2</v>
      </c>
      <c r="F37" s="1"/>
    </row>
    <row r="38" spans="1:6" ht="15">
      <c r="A38" s="10">
        <v>35</v>
      </c>
      <c r="B38" s="11" t="s">
        <v>123</v>
      </c>
      <c r="C38" s="11" t="s">
        <v>203</v>
      </c>
      <c r="D38" s="17" t="s">
        <v>215</v>
      </c>
      <c r="E38" s="61">
        <v>2</v>
      </c>
      <c r="F38" s="1"/>
    </row>
    <row r="39" spans="1:6" ht="15">
      <c r="A39" s="10">
        <v>36</v>
      </c>
      <c r="B39" s="11" t="s">
        <v>154</v>
      </c>
      <c r="C39" s="11" t="s">
        <v>203</v>
      </c>
      <c r="D39" s="65" t="s">
        <v>155</v>
      </c>
      <c r="E39" s="61">
        <v>2</v>
      </c>
      <c r="F39" s="1"/>
    </row>
    <row r="40" spans="1:6" ht="15">
      <c r="A40" s="10">
        <v>37</v>
      </c>
      <c r="B40" s="11" t="s">
        <v>221</v>
      </c>
      <c r="C40" s="11" t="s">
        <v>205</v>
      </c>
      <c r="D40" s="65" t="s">
        <v>155</v>
      </c>
      <c r="E40" s="61">
        <v>2</v>
      </c>
      <c r="F40" s="1"/>
    </row>
    <row r="41" spans="1:6" ht="15">
      <c r="A41" s="10">
        <v>38</v>
      </c>
      <c r="B41" s="11" t="s">
        <v>224</v>
      </c>
      <c r="C41" s="11" t="s">
        <v>203</v>
      </c>
      <c r="D41" s="13" t="s">
        <v>181</v>
      </c>
      <c r="E41" s="61">
        <v>2</v>
      </c>
      <c r="F41" s="1"/>
    </row>
    <row r="42" spans="1:6" ht="15">
      <c r="A42" s="10">
        <v>39</v>
      </c>
      <c r="B42" s="11" t="s">
        <v>267</v>
      </c>
      <c r="C42" s="11" t="s">
        <v>205</v>
      </c>
      <c r="D42" s="13" t="s">
        <v>268</v>
      </c>
      <c r="E42" s="61">
        <v>1</v>
      </c>
      <c r="F42" s="1"/>
    </row>
    <row r="43" spans="1:6" ht="15">
      <c r="A43" s="10">
        <v>40</v>
      </c>
      <c r="B43" s="11" t="s">
        <v>269</v>
      </c>
      <c r="C43" s="11" t="s">
        <v>203</v>
      </c>
      <c r="D43" s="13" t="s">
        <v>270</v>
      </c>
      <c r="E43" s="61">
        <v>1</v>
      </c>
      <c r="F43" s="1"/>
    </row>
    <row r="44" spans="1:6" ht="15">
      <c r="A44" s="10">
        <v>41</v>
      </c>
      <c r="B44" s="11" t="s">
        <v>271</v>
      </c>
      <c r="C44" s="11" t="s">
        <v>203</v>
      </c>
      <c r="D44" s="13" t="s">
        <v>270</v>
      </c>
      <c r="E44" s="61">
        <v>1</v>
      </c>
      <c r="F44" s="1"/>
    </row>
    <row r="45" spans="1:6" ht="15">
      <c r="A45" s="10">
        <v>42</v>
      </c>
      <c r="B45" s="11" t="s">
        <v>272</v>
      </c>
      <c r="C45" s="11" t="s">
        <v>203</v>
      </c>
      <c r="D45" s="13" t="s">
        <v>185</v>
      </c>
      <c r="E45" s="61">
        <v>3</v>
      </c>
      <c r="F45" s="1"/>
    </row>
    <row r="46" spans="1:6" ht="15">
      <c r="A46" s="10">
        <v>43</v>
      </c>
      <c r="B46" s="11" t="s">
        <v>273</v>
      </c>
      <c r="C46" s="11" t="s">
        <v>203</v>
      </c>
      <c r="D46" s="13" t="s">
        <v>175</v>
      </c>
      <c r="E46" s="61">
        <v>2</v>
      </c>
      <c r="F46" s="1"/>
    </row>
    <row r="47" spans="1:6" ht="15">
      <c r="A47" s="10">
        <v>44</v>
      </c>
      <c r="B47" s="11" t="s">
        <v>274</v>
      </c>
      <c r="C47" s="11" t="s">
        <v>203</v>
      </c>
      <c r="D47" s="13" t="s">
        <v>175</v>
      </c>
      <c r="E47" s="61">
        <v>2</v>
      </c>
      <c r="F47" s="1"/>
    </row>
    <row r="48" spans="1:6" ht="15">
      <c r="A48" s="10">
        <v>45</v>
      </c>
      <c r="B48" s="11" t="s">
        <v>275</v>
      </c>
      <c r="C48" s="11" t="s">
        <v>203</v>
      </c>
      <c r="D48" s="13" t="s">
        <v>169</v>
      </c>
      <c r="E48" s="61">
        <v>2</v>
      </c>
      <c r="F48" s="1"/>
    </row>
    <row r="49" spans="1:6" ht="15">
      <c r="A49" s="10">
        <v>46</v>
      </c>
      <c r="B49" s="11" t="s">
        <v>241</v>
      </c>
      <c r="C49" s="11" t="s">
        <v>203</v>
      </c>
      <c r="D49" s="13" t="s">
        <v>88</v>
      </c>
      <c r="E49" s="61">
        <v>3</v>
      </c>
      <c r="F49" s="1"/>
    </row>
    <row r="50" spans="1:6" ht="15">
      <c r="A50" s="10">
        <v>47</v>
      </c>
      <c r="B50" s="11" t="s">
        <v>276</v>
      </c>
      <c r="C50" s="11" t="s">
        <v>205</v>
      </c>
      <c r="D50" s="13" t="s">
        <v>213</v>
      </c>
      <c r="E50" s="61">
        <v>2</v>
      </c>
      <c r="F50" s="1"/>
    </row>
    <row r="51" spans="1:6" ht="15">
      <c r="A51" s="10">
        <v>48</v>
      </c>
      <c r="B51" s="11" t="s">
        <v>243</v>
      </c>
      <c r="C51" s="11" t="s">
        <v>203</v>
      </c>
      <c r="D51" s="13" t="s">
        <v>244</v>
      </c>
      <c r="E51" s="61">
        <v>3</v>
      </c>
      <c r="F51" s="1"/>
    </row>
    <row r="52" spans="1:6" ht="15">
      <c r="A52" s="10">
        <v>49</v>
      </c>
      <c r="B52" s="11" t="s">
        <v>277</v>
      </c>
      <c r="C52" s="11" t="s">
        <v>212</v>
      </c>
      <c r="D52" s="13" t="s">
        <v>155</v>
      </c>
      <c r="E52" s="61">
        <v>2</v>
      </c>
      <c r="F52" s="1"/>
    </row>
    <row r="53" spans="1:6" ht="15">
      <c r="A53" s="10">
        <v>50</v>
      </c>
      <c r="B53" s="11" t="s">
        <v>78</v>
      </c>
      <c r="C53" s="11" t="s">
        <v>203</v>
      </c>
      <c r="D53" s="13" t="s">
        <v>149</v>
      </c>
      <c r="E53" s="61">
        <v>2</v>
      </c>
      <c r="F53" s="1"/>
    </row>
    <row r="54" spans="1:6" ht="15">
      <c r="A54" s="10">
        <v>51</v>
      </c>
      <c r="B54" s="11"/>
      <c r="C54" s="11"/>
      <c r="D54" s="13"/>
      <c r="E54" s="61"/>
      <c r="F54" s="1"/>
    </row>
    <row r="55" spans="1:6" ht="15">
      <c r="A55" s="10">
        <v>52</v>
      </c>
      <c r="B55" s="11"/>
      <c r="C55" s="11"/>
      <c r="D55" s="13"/>
      <c r="E55" s="61"/>
      <c r="F55" s="1"/>
    </row>
    <row r="56" spans="1:6" ht="15">
      <c r="A56" s="10">
        <v>53</v>
      </c>
      <c r="B56" s="11"/>
      <c r="C56" s="11"/>
      <c r="D56" s="13"/>
      <c r="E56" s="61"/>
      <c r="F56" s="1"/>
    </row>
    <row r="57" spans="1:6" ht="15">
      <c r="A57" s="10">
        <v>54</v>
      </c>
      <c r="B57" s="11"/>
      <c r="C57" s="11"/>
      <c r="D57" s="13"/>
      <c r="E57" s="61"/>
      <c r="F57" s="1"/>
    </row>
    <row r="58" spans="1:6" ht="16.2" thickBot="1">
      <c r="A58" s="81" t="s">
        <v>278</v>
      </c>
      <c r="B58" s="82"/>
      <c r="C58" s="82"/>
      <c r="D58" s="83"/>
      <c r="E58" s="71">
        <f>SUM(E4:E57)</f>
        <v>97</v>
      </c>
      <c r="F58" s="1"/>
    </row>
    <row r="59" spans="1:6">
      <c r="A59" s="1"/>
      <c r="B59" s="1"/>
      <c r="C59" s="1"/>
      <c r="D59" s="1"/>
      <c r="E59" s="1"/>
      <c r="F59" s="1"/>
    </row>
  </sheetData>
  <mergeCells count="7">
    <mergeCell ref="A58:D58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2026-07-08T12:44:43Z</dcterms:modified>
</cp:coreProperties>
</file>