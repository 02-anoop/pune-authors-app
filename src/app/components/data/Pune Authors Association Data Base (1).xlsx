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une Authors\"/>
    </mc:Choice>
  </mc:AlternateContent>
  <xr:revisionPtr revIDLastSave="0" documentId="13_ncr:1_{E2139DB4-155C-4DBC-8D1B-FE4A27AD3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ed Authors" sheetId="2" r:id="rId1"/>
    <sheet name="Event Statistics" sheetId="8" r:id="rId2"/>
    <sheet name="List of Books" sheetId="5" r:id="rId3"/>
    <sheet name="Authors offerings" sheetId="4" r:id="rId4"/>
    <sheet name="Books for first three Airports" sheetId="3" r:id="rId5"/>
    <sheet name="Books for Mangalore Airport " sheetId="7" r:id="rId6"/>
    <sheet name="Goa Book Fair" sheetId="9" r:id="rId7"/>
    <sheet name="Dehradun Book Fair" sheetId="11" r:id="rId8"/>
    <sheet name="Kolkata Airport" sheetId="12" r:id="rId9"/>
    <sheet name="Trivendrum Airport " sheetId="13" r:id="rId10"/>
    <sheet name="Old Data" sheetId="1" r:id="rId11"/>
    <sheet name="Srinagar Book Fair" sheetId="17" r:id="rId12"/>
    <sheet name="Pune Airport Flybrary" sheetId="18" r:id="rId13"/>
    <sheet name="List of Participants" sheetId="15" r:id="rId14"/>
    <sheet name="Event Payment Tracker" sheetId="14" r:id="rId15"/>
    <sheet name="Working Sheet" sheetId="19" r:id="rId16"/>
    <sheet name="Sheet1" sheetId="20" r:id="rId17"/>
  </sheets>
  <definedNames>
    <definedName name="_xlnm._FilterDatabase" localSheetId="5" hidden="1">'Books for Mangalore Airport '!$E$2:$E$73</definedName>
    <definedName name="_xlnm._FilterDatabase" localSheetId="14" hidden="1">'Event Payment Tracker'!$T$2:$T$24</definedName>
    <definedName name="_xlnm._FilterDatabase" localSheetId="13" hidden="1">'List of Participants'!$O$2:$O$63</definedName>
    <definedName name="_xlnm._FilterDatabase" localSheetId="0" hidden="1">'Registered Authors'!$L$1:$L$54</definedName>
    <definedName name="_xlnm._FilterDatabase" localSheetId="9" hidden="1">'Trivendrum Airport '!$I$1:$I$64</definedName>
    <definedName name="sum" localSheetId="11">'Srinagar Book Fair'!$I$5</definedName>
    <definedName name="sum">'Dehradun Book Fair'!$I$5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18" l="1"/>
  <c r="Q56" i="17"/>
  <c r="M55" i="5"/>
  <c r="Q47" i="17"/>
  <c r="Q41" i="17"/>
  <c r="Q42" i="17"/>
  <c r="Q43" i="17"/>
  <c r="Q44" i="17"/>
  <c r="Q45" i="17"/>
  <c r="Q46" i="17"/>
  <c r="Q48" i="17"/>
  <c r="Q49" i="17"/>
  <c r="Q50" i="17"/>
  <c r="Q51" i="17"/>
  <c r="Q52" i="17"/>
  <c r="Q53" i="17"/>
  <c r="Q54" i="17"/>
  <c r="Q55" i="17"/>
  <c r="C57" i="17"/>
  <c r="F57" i="17"/>
  <c r="P57" i="17"/>
  <c r="O57" i="17"/>
  <c r="N57" i="17"/>
  <c r="M57" i="17"/>
  <c r="L57" i="17"/>
  <c r="K57" i="17"/>
  <c r="J57" i="17"/>
  <c r="I57" i="17"/>
  <c r="H57" i="17"/>
  <c r="G57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5" i="17"/>
  <c r="Q4" i="17"/>
  <c r="H79" i="12"/>
  <c r="H82" i="12"/>
  <c r="H72" i="7"/>
  <c r="J80" i="3"/>
  <c r="J81" i="3"/>
  <c r="J82" i="3"/>
  <c r="J44" i="8"/>
  <c r="H78" i="12"/>
  <c r="H71" i="7"/>
  <c r="I83" i="3"/>
  <c r="H83" i="3"/>
  <c r="G83" i="3"/>
  <c r="F83" i="3"/>
  <c r="J79" i="3"/>
  <c r="F64" i="13"/>
  <c r="G73" i="7"/>
  <c r="F73" i="7"/>
  <c r="H70" i="7"/>
  <c r="H69" i="7"/>
  <c r="H77" i="12"/>
  <c r="G82" i="12"/>
  <c r="F82" i="12"/>
  <c r="H68" i="7"/>
  <c r="J78" i="3"/>
  <c r="H67" i="7"/>
  <c r="J77" i="3"/>
  <c r="H35" i="12"/>
  <c r="H36" i="12"/>
  <c r="H37" i="12"/>
  <c r="H38" i="12"/>
  <c r="H39" i="12"/>
  <c r="H67" i="12"/>
  <c r="H68" i="12"/>
  <c r="H69" i="12"/>
  <c r="H70" i="12"/>
  <c r="H71" i="12"/>
  <c r="H72" i="12"/>
  <c r="H73" i="12"/>
  <c r="H74" i="12"/>
  <c r="H75" i="12"/>
  <c r="H76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5" i="12"/>
  <c r="H84" i="11"/>
  <c r="I84" i="11"/>
  <c r="J84" i="11"/>
  <c r="K84" i="11"/>
  <c r="L84" i="11"/>
  <c r="M84" i="11"/>
  <c r="N84" i="11"/>
  <c r="O84" i="11"/>
  <c r="P84" i="11"/>
  <c r="G84" i="11"/>
  <c r="Q81" i="11"/>
  <c r="Q82" i="11"/>
  <c r="Q83" i="11"/>
  <c r="K13" i="8"/>
  <c r="K4" i="8"/>
  <c r="C84" i="11"/>
  <c r="Q79" i="11"/>
  <c r="Q80" i="11"/>
  <c r="Q42" i="11"/>
  <c r="Q76" i="11"/>
  <c r="Q77" i="11"/>
  <c r="Q78" i="11"/>
  <c r="J73" i="3"/>
  <c r="J74" i="3"/>
  <c r="J75" i="3"/>
  <c r="J76" i="3"/>
  <c r="H63" i="7"/>
  <c r="H64" i="7"/>
  <c r="H65" i="7"/>
  <c r="H66" i="7"/>
  <c r="J69" i="3"/>
  <c r="J70" i="3"/>
  <c r="J71" i="3"/>
  <c r="J72" i="3"/>
  <c r="H61" i="7"/>
  <c r="H62" i="7"/>
  <c r="J68" i="3"/>
  <c r="J64" i="3"/>
  <c r="J65" i="3"/>
  <c r="J66" i="3"/>
  <c r="J67" i="3"/>
  <c r="G64" i="13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4" i="11"/>
  <c r="H18" i="7"/>
  <c r="F84" i="11"/>
  <c r="L18" i="9"/>
  <c r="M18" i="9" s="1"/>
  <c r="M5" i="9"/>
  <c r="M6" i="9"/>
  <c r="M7" i="9"/>
  <c r="M9" i="9"/>
  <c r="M11" i="9"/>
  <c r="M12" i="9"/>
  <c r="M13" i="9"/>
  <c r="M14" i="9"/>
  <c r="M15" i="9"/>
  <c r="M20" i="9"/>
  <c r="M21" i="9"/>
  <c r="M22" i="9"/>
  <c r="M23" i="9"/>
  <c r="M24" i="9"/>
  <c r="M25" i="9"/>
  <c r="M37" i="9"/>
  <c r="M39" i="9"/>
  <c r="M44" i="9"/>
  <c r="M45" i="9"/>
  <c r="M46" i="9"/>
  <c r="M54" i="9"/>
  <c r="M55" i="9"/>
  <c r="M4" i="9"/>
  <c r="L4" i="9"/>
  <c r="L5" i="9"/>
  <c r="L6" i="9"/>
  <c r="L7" i="9"/>
  <c r="L8" i="9"/>
  <c r="M8" i="9" s="1"/>
  <c r="L9" i="9"/>
  <c r="L10" i="9"/>
  <c r="M10" i="9" s="1"/>
  <c r="L11" i="9"/>
  <c r="L12" i="9"/>
  <c r="L13" i="9"/>
  <c r="L14" i="9"/>
  <c r="L15" i="9"/>
  <c r="L16" i="9"/>
  <c r="M16" i="9" s="1"/>
  <c r="L17" i="9"/>
  <c r="M17" i="9" s="1"/>
  <c r="L19" i="9"/>
  <c r="M19" i="9" s="1"/>
  <c r="L20" i="9"/>
  <c r="L21" i="9"/>
  <c r="L22" i="9"/>
  <c r="L23" i="9"/>
  <c r="L24" i="9"/>
  <c r="L25" i="9"/>
  <c r="L26" i="9"/>
  <c r="M26" i="9" s="1"/>
  <c r="L27" i="9"/>
  <c r="M27" i="9" s="1"/>
  <c r="L28" i="9"/>
  <c r="M28" i="9" s="1"/>
  <c r="L29" i="9"/>
  <c r="M29" i="9" s="1"/>
  <c r="L30" i="9"/>
  <c r="M30" i="9" s="1"/>
  <c r="L31" i="9"/>
  <c r="M31" i="9" s="1"/>
  <c r="L32" i="9"/>
  <c r="M32" i="9" s="1"/>
  <c r="L33" i="9"/>
  <c r="M33" i="9" s="1"/>
  <c r="L34" i="9"/>
  <c r="M34" i="9" s="1"/>
  <c r="L35" i="9"/>
  <c r="M35" i="9" s="1"/>
  <c r="L36" i="9"/>
  <c r="M36" i="9" s="1"/>
  <c r="L37" i="9"/>
  <c r="L38" i="9"/>
  <c r="M38" i="9" s="1"/>
  <c r="L39" i="9"/>
  <c r="L40" i="9"/>
  <c r="M40" i="9" s="1"/>
  <c r="L41" i="9"/>
  <c r="M41" i="9" s="1"/>
  <c r="L42" i="9"/>
  <c r="M42" i="9" s="1"/>
  <c r="L43" i="9"/>
  <c r="M43" i="9" s="1"/>
  <c r="L44" i="9"/>
  <c r="L45" i="9"/>
  <c r="L46" i="9"/>
  <c r="L47" i="9"/>
  <c r="M47" i="9" s="1"/>
  <c r="L48" i="9"/>
  <c r="M48" i="9" s="1"/>
  <c r="L49" i="9"/>
  <c r="M49" i="9" s="1"/>
  <c r="L50" i="9"/>
  <c r="M50" i="9" s="1"/>
  <c r="L51" i="9"/>
  <c r="M51" i="9" s="1"/>
  <c r="L52" i="9"/>
  <c r="M52" i="9" s="1"/>
  <c r="L53" i="9"/>
  <c r="M53" i="9" s="1"/>
  <c r="H60" i="7"/>
  <c r="H59" i="7"/>
  <c r="H58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G56" i="9"/>
  <c r="H56" i="9"/>
  <c r="I56" i="9"/>
  <c r="J56" i="9"/>
  <c r="K56" i="9"/>
  <c r="E56" i="9"/>
  <c r="F56" i="9"/>
  <c r="I73" i="7"/>
  <c r="H4" i="7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3" i="3"/>
  <c r="T390" i="1"/>
  <c r="T283" i="1"/>
  <c r="T292" i="1"/>
  <c r="T286" i="1"/>
  <c r="Q57" i="17" l="1"/>
  <c r="K44" i="8"/>
  <c r="Q84" i="11"/>
  <c r="L56" i="9"/>
  <c r="M56" i="9" s="1"/>
  <c r="H73" i="7"/>
  <c r="J83" i="3"/>
</calcChain>
</file>

<file path=xl/sharedStrings.xml><?xml version="1.0" encoding="utf-8"?>
<sst xmlns="http://schemas.openxmlformats.org/spreadsheetml/2006/main" count="4716" uniqueCount="743">
  <si>
    <t>S.No</t>
  </si>
  <si>
    <t>Author Name</t>
  </si>
  <si>
    <t>Book 1</t>
  </si>
  <si>
    <t>Book Title</t>
  </si>
  <si>
    <t>Genre</t>
  </si>
  <si>
    <t>MRP</t>
  </si>
  <si>
    <t>Discount</t>
  </si>
  <si>
    <t>No of copies</t>
  </si>
  <si>
    <t>Amount Paid</t>
  </si>
  <si>
    <t>Pune Book fair</t>
  </si>
  <si>
    <t>Book 2</t>
  </si>
  <si>
    <t>Book 3</t>
  </si>
  <si>
    <t>Book 4</t>
  </si>
  <si>
    <t>Pune Airport</t>
  </si>
  <si>
    <t>Chennai Airport</t>
  </si>
  <si>
    <t>Bhubneshwar Airport</t>
  </si>
  <si>
    <t>No of copies sent</t>
  </si>
  <si>
    <t>Books</t>
  </si>
  <si>
    <t>SHIV MATHUR</t>
  </si>
  <si>
    <t>PRATIMA KAPOOR</t>
  </si>
  <si>
    <t>JASBIR BASU</t>
  </si>
  <si>
    <t>SANJAY LAZAR</t>
  </si>
  <si>
    <t>LAKSHMI AJOY</t>
  </si>
  <si>
    <t>AMOL KULKARNI</t>
  </si>
  <si>
    <t>VAISHALI JOG</t>
  </si>
  <si>
    <t>SANJAY TEWARI</t>
  </si>
  <si>
    <t xml:space="preserve">MADHAVI </t>
  </si>
  <si>
    <t>CHETNA BHATIA</t>
  </si>
  <si>
    <t>SHRISHTI JAIN</t>
  </si>
  <si>
    <t>APARNA SHEKAR</t>
  </si>
  <si>
    <t>ANITA SHARMA</t>
  </si>
  <si>
    <t>AMITABH SATYAM</t>
  </si>
  <si>
    <t>PADMA C</t>
  </si>
  <si>
    <t>NITESH PANDEY</t>
  </si>
  <si>
    <t>Self help</t>
  </si>
  <si>
    <t>Spirituality</t>
  </si>
  <si>
    <t>Book 5</t>
  </si>
  <si>
    <t>Tapestry</t>
  </si>
  <si>
    <t>Fiction</t>
  </si>
  <si>
    <t>Borrowed Plumes</t>
  </si>
  <si>
    <t>Angelica's Colouring Book</t>
  </si>
  <si>
    <t>Children</t>
  </si>
  <si>
    <t>Angelica's Angel And The Pappalooza Choozas</t>
  </si>
  <si>
    <t>Gilded Diary</t>
  </si>
  <si>
    <t>Quantum Healing System</t>
  </si>
  <si>
    <t>Scrolls of Virtue</t>
  </si>
  <si>
    <t>Horror Mangta Kya</t>
  </si>
  <si>
    <t>From Ka to Ki</t>
  </si>
  <si>
    <t>The Timeless Triad</t>
  </si>
  <si>
    <t>Science Fiction</t>
  </si>
  <si>
    <t>Not Without My Mother - Powerful Stories of Motherhood</t>
  </si>
  <si>
    <t>Meditation &amp; Spirituality : A Philosophy</t>
  </si>
  <si>
    <t>Spiritual Encounters - Meeting the Himalayan Yogis</t>
  </si>
  <si>
    <t>Social Pandemic - A Terminally ill Modern Society</t>
  </si>
  <si>
    <t>Science &amp; Spirituality - Understanding the Cosmic and Human Science</t>
  </si>
  <si>
    <t>Pages of Power - Volume 1</t>
  </si>
  <si>
    <t>Flight of Emotions - Poems for your heart and soul</t>
  </si>
  <si>
    <t>Poetry</t>
  </si>
  <si>
    <t>The Last Wish - Echoes of the Departed</t>
  </si>
  <si>
    <t>GAUTAM MAYEKAR</t>
  </si>
  <si>
    <t>I'm So Hacked</t>
  </si>
  <si>
    <t>We're So hacked</t>
  </si>
  <si>
    <t>Stoned ! The Untold Story of CoWeed-20</t>
  </si>
  <si>
    <t>The Light at the Edges</t>
  </si>
  <si>
    <t>Unfinished Love ; Seven Mini Stories</t>
  </si>
  <si>
    <t>The Silent Wisdom of Childhood</t>
  </si>
  <si>
    <t>Anthology - 8 short stories. Collection of grandma-grandpa stories</t>
  </si>
  <si>
    <t>ASHWANI R SANE</t>
  </si>
  <si>
    <t>RAJESH WATTAMWAR</t>
  </si>
  <si>
    <t>RAMITA SENGUPTA</t>
  </si>
  <si>
    <t>KALYANI SARDESAI</t>
  </si>
  <si>
    <t>The Adventures of Little Kanya</t>
  </si>
  <si>
    <t>The Moscow Mosaic</t>
  </si>
  <si>
    <t>The Vienna Juggernaut</t>
  </si>
  <si>
    <t>Nakshatra of Ethos and the Abodes of the Gods</t>
  </si>
  <si>
    <t>The Terrorist Inquest</t>
  </si>
  <si>
    <t>Drama</t>
  </si>
  <si>
    <t>Airport Library</t>
  </si>
  <si>
    <t>Unspoken Heroines</t>
  </si>
  <si>
    <t>Died and Back</t>
  </si>
  <si>
    <t>AMITA SAMANT</t>
  </si>
  <si>
    <t>The Mysterious Creepers of Pinewoods and Other Stories</t>
  </si>
  <si>
    <t>Who Shall Wear the Crown</t>
  </si>
  <si>
    <t>He Lost His Mobile and …</t>
  </si>
  <si>
    <t>The Diary the Crooks and the Albatross</t>
  </si>
  <si>
    <t>Fletcherism</t>
  </si>
  <si>
    <t>Stories of Courage - Vol-1</t>
  </si>
  <si>
    <t>On Angels' Wings - Beyond the Bombing of Air India 182</t>
  </si>
  <si>
    <t>Non-Fiction</t>
  </si>
  <si>
    <t>Culpable</t>
  </si>
  <si>
    <t>Echoes of the Past</t>
  </si>
  <si>
    <t>Leadership in Action</t>
  </si>
  <si>
    <t>VISHWAS VAIDYA</t>
  </si>
  <si>
    <t>NIMA MANKAR</t>
  </si>
  <si>
    <t>Blind Until Blessed</t>
  </si>
  <si>
    <t>MANISHA MEMANE</t>
  </si>
  <si>
    <t>Dear You… Yours Truly, Kavita</t>
  </si>
  <si>
    <t>The Curious Case of Dr Pragyan Parker</t>
  </si>
  <si>
    <t>The Hindi Medium Types</t>
  </si>
  <si>
    <t>Social</t>
  </si>
  <si>
    <t>The Dalhousie Murders</t>
  </si>
  <si>
    <t>Read &amp; Brew Library</t>
  </si>
  <si>
    <t>Redefining Wealth and The Rat Race</t>
  </si>
  <si>
    <t xml:space="preserve">Kolkatta Airport </t>
  </si>
  <si>
    <t>Madurai Airport</t>
  </si>
  <si>
    <t>One Life and the Road - A Tapestry of Emotions</t>
  </si>
  <si>
    <t>UMA YOGANAND</t>
  </si>
  <si>
    <t>RIYA MENGHANI</t>
  </si>
  <si>
    <t>The Quest for the Lost Love</t>
  </si>
  <si>
    <t>Yoga for Runners</t>
  </si>
  <si>
    <t>30 Minutes A Day</t>
  </si>
  <si>
    <t>Unspoken Feelings</t>
  </si>
  <si>
    <t xml:space="preserve">Lost Amongst the Myths : Her Stories </t>
  </si>
  <si>
    <t>When Love is Lost - case from the family courts of a changing India</t>
  </si>
  <si>
    <t>Child of My Heart</t>
  </si>
  <si>
    <t>SHIVANI B SABHARWAL</t>
  </si>
  <si>
    <t>Osum's Ocean Odyssey : Discovering Wonders and Friends Under The Sea</t>
  </si>
  <si>
    <t>Osum's Ocean Odyssey : The Lost World 2</t>
  </si>
  <si>
    <t>And Thus Responded The Divine</t>
  </si>
  <si>
    <t>Caution : Twists Ahead</t>
  </si>
  <si>
    <t>Woh Hindi Medium Wala</t>
  </si>
  <si>
    <t>VANDANA SRIVASTAVA</t>
  </si>
  <si>
    <t>MADHU NAIR</t>
  </si>
  <si>
    <t>One &amp; Half Mother</t>
  </si>
  <si>
    <t>The Eclipsed Sun</t>
  </si>
  <si>
    <t>VINEET KUMAR</t>
  </si>
  <si>
    <t>Mayan Routes &amp; Indian Roots</t>
  </si>
  <si>
    <t>ANSHUMAN</t>
  </si>
  <si>
    <t>Those Unsaid Words</t>
  </si>
  <si>
    <t>DEEPTI KOLTE</t>
  </si>
  <si>
    <t>Dog Knows</t>
  </si>
  <si>
    <t>Friend's Library</t>
  </si>
  <si>
    <t>NITIN KARE</t>
  </si>
  <si>
    <t>Borrowed Identity</t>
  </si>
  <si>
    <t>REYANSHI CHOUHAN</t>
  </si>
  <si>
    <t>The Infinite Triangle</t>
  </si>
  <si>
    <t>VINAY VAIDYA</t>
  </si>
  <si>
    <t>NISHA MOTGHARE</t>
  </si>
  <si>
    <t>Nitin Kare</t>
  </si>
  <si>
    <t>One Life and the Betrayal - A Sequel</t>
  </si>
  <si>
    <t>Nishit Gupta</t>
  </si>
  <si>
    <t>Divya Mahadik</t>
  </si>
  <si>
    <t>SUJATA KIRTANE SAPRE</t>
  </si>
  <si>
    <t>DIVYA MAHADIK</t>
  </si>
  <si>
    <t>PRACHI SALUJA</t>
  </si>
  <si>
    <t>NISHIT GUPTA</t>
  </si>
  <si>
    <t>Reyanshi Chouhan</t>
  </si>
  <si>
    <t>Cdr Madhavi</t>
  </si>
  <si>
    <t>Uma Yogananda</t>
  </si>
  <si>
    <t>Padma C</t>
  </si>
  <si>
    <t>Amita Samant</t>
  </si>
  <si>
    <t>Nima Mankar</t>
  </si>
  <si>
    <t>Anita Sharma</t>
  </si>
  <si>
    <t>Chetna Bhatia</t>
  </si>
  <si>
    <t>Jasbir basu</t>
  </si>
  <si>
    <t>Vinay Vaidya</t>
  </si>
  <si>
    <t>Shivani</t>
  </si>
  <si>
    <t>Srishti Jain</t>
  </si>
  <si>
    <t>Quantity</t>
  </si>
  <si>
    <t>Cdr Shiv Mathur</t>
  </si>
  <si>
    <t>Jasbir Basu</t>
  </si>
  <si>
    <t>Lakshmi</t>
  </si>
  <si>
    <t>Manisha Memane</t>
  </si>
  <si>
    <t>Amol Kulkarni</t>
  </si>
  <si>
    <t>Vaishali Jog</t>
  </si>
  <si>
    <t>Vandana Srivastava</t>
  </si>
  <si>
    <t>Amitabh Satyam</t>
  </si>
  <si>
    <t>Nitesh Pandey</t>
  </si>
  <si>
    <t>Gautam Mayekar</t>
  </si>
  <si>
    <t>Ashwini Sane</t>
  </si>
  <si>
    <t>Rajesh Wattamwar</t>
  </si>
  <si>
    <t>Kalyani Sardesai</t>
  </si>
  <si>
    <t>Shivani Sabharwal</t>
  </si>
  <si>
    <t>Educational</t>
  </si>
  <si>
    <t>Vishwas Vaidya</t>
  </si>
  <si>
    <t>Total number of books airport wise donated</t>
  </si>
  <si>
    <t>Bound by Unconditional Love</t>
  </si>
  <si>
    <t>Divya Chakraborty</t>
  </si>
  <si>
    <t>Beneath her Silence</t>
  </si>
  <si>
    <t>Ramita Sengupta</t>
  </si>
  <si>
    <t>Blind to Blessed</t>
  </si>
  <si>
    <t>The Jar of Secret Numbers</t>
  </si>
  <si>
    <t>At the Break of the Dawn</t>
  </si>
  <si>
    <t>Sujata Sapre</t>
  </si>
  <si>
    <t>Total Number of Books Donated Title Wise</t>
  </si>
  <si>
    <t>LtCol Anshuman</t>
  </si>
  <si>
    <t>Aparna Sekhar</t>
  </si>
  <si>
    <t>Surekha Sule</t>
  </si>
  <si>
    <t>Open the Book, Close the Chapter</t>
  </si>
  <si>
    <t>Abhangs of Sant Tukaram - English Translation</t>
  </si>
  <si>
    <t>Children's</t>
  </si>
  <si>
    <t>Deepak Phadnis</t>
  </si>
  <si>
    <t>Prachi Saluja</t>
  </si>
  <si>
    <t>Emotional Alchemy</t>
  </si>
  <si>
    <t>Unfinished Love</t>
  </si>
  <si>
    <t>Deepti Kolte</t>
  </si>
  <si>
    <t>Pratima Kapoor</t>
  </si>
  <si>
    <t>Cmde Sanjay Tewari</t>
  </si>
  <si>
    <t>Sanjay lazar</t>
  </si>
  <si>
    <t>Author’s offerings</t>
  </si>
  <si>
    <t>S. No</t>
  </si>
  <si>
    <t>Formatting of Manuscript</t>
  </si>
  <si>
    <t>Editing of Manuscript</t>
  </si>
  <si>
    <t>Cover Design</t>
  </si>
  <si>
    <t>Audio file Creation</t>
  </si>
  <si>
    <t>Conduct Fireside Chat</t>
  </si>
  <si>
    <t>Arrange book club slot for an author</t>
  </si>
  <si>
    <t>YES</t>
  </si>
  <si>
    <t>Page of Power</t>
  </si>
  <si>
    <t>LIST OF BOOKS OF AUTHORS REGISTERED IN THIS GROUP</t>
  </si>
  <si>
    <t>AUTHOR NAME</t>
  </si>
  <si>
    <t>BOOK-1</t>
  </si>
  <si>
    <t>BOOK-2</t>
  </si>
  <si>
    <t>BOOK-3</t>
  </si>
  <si>
    <t>BOOK-4</t>
  </si>
  <si>
    <t>BOOK-5</t>
  </si>
  <si>
    <t>BOOK-6</t>
  </si>
  <si>
    <t>BOOK-7</t>
  </si>
  <si>
    <t>Unnamed Train</t>
  </si>
  <si>
    <t>Living with courage and Clarity</t>
  </si>
  <si>
    <t>Included in the Catalogue</t>
  </si>
  <si>
    <t>Included in the Database</t>
  </si>
  <si>
    <t>Yes</t>
  </si>
  <si>
    <t>Donating Books to the Airport</t>
  </si>
  <si>
    <t>No of Literary Events participated in</t>
  </si>
  <si>
    <t>Riya Menghani</t>
  </si>
  <si>
    <t>No of Literary Events Organised</t>
  </si>
  <si>
    <t>No of Book Fair Stall Organised</t>
  </si>
  <si>
    <t>Meditation Philosophy</t>
  </si>
  <si>
    <t>Spiritual Encounters</t>
  </si>
  <si>
    <t>Social Pandemic</t>
  </si>
  <si>
    <t>Science &amp; Spirituality</t>
  </si>
  <si>
    <t>Stories of Courage</t>
  </si>
  <si>
    <t>Pages of Power</t>
  </si>
  <si>
    <t>On Angels Wings</t>
  </si>
  <si>
    <t>Redefining Wealth</t>
  </si>
  <si>
    <t>The Quest for my Lost Love</t>
  </si>
  <si>
    <t>One Life and the Road</t>
  </si>
  <si>
    <t>One Life and the Betrayal</t>
  </si>
  <si>
    <t>Quantum healing System</t>
  </si>
  <si>
    <t>The Last Wish</t>
  </si>
  <si>
    <t>Not Without My Mother</t>
  </si>
  <si>
    <t>Flights of Emotions</t>
  </si>
  <si>
    <t>The Gilded Diary</t>
  </si>
  <si>
    <t>Whimsical Tales of Whispers and Wonders</t>
  </si>
  <si>
    <t>We Are So Hacked</t>
  </si>
  <si>
    <t>I Am So Hacked</t>
  </si>
  <si>
    <t>Stoned</t>
  </si>
  <si>
    <t>The Light at The Edges</t>
  </si>
  <si>
    <t>Little Kanya - The Vienna Juggernaut</t>
  </si>
  <si>
    <t>Little Kanya - The Moscow Mosaic</t>
  </si>
  <si>
    <t>Little Kanya - The Sonic reverberator</t>
  </si>
  <si>
    <t>Nakshathra of Ethos and the Abodes of Gods</t>
  </si>
  <si>
    <t>The Terrorists Inquest</t>
  </si>
  <si>
    <t>The Mysterious Creepers of Pinewoods</t>
  </si>
  <si>
    <t>Who Shall Wear The Crown</t>
  </si>
  <si>
    <t>Dear You.. Yours Truly, Kavita</t>
  </si>
  <si>
    <t>The Wake Of The Swordfish</t>
  </si>
  <si>
    <t>Through The Labryinth of History</t>
  </si>
  <si>
    <t>The Baby Burped on My Battledress</t>
  </si>
  <si>
    <t>Gateways To The Sea</t>
  </si>
  <si>
    <t>Garden of Dreams</t>
  </si>
  <si>
    <t>Divine Verse Abhang Gatha - Vol-1</t>
  </si>
  <si>
    <t>The Borrowed Identity</t>
  </si>
  <si>
    <t>Vishwanath Alluri</t>
  </si>
  <si>
    <t>The Enlightened Manager</t>
  </si>
  <si>
    <t>Gilded</t>
  </si>
  <si>
    <t>LtCol Vineet Kumar</t>
  </si>
  <si>
    <t>Aerodynamics of Love</t>
  </si>
  <si>
    <t>Angelica Angel and the Maze of Secrets</t>
  </si>
  <si>
    <t>Angelica Angels</t>
  </si>
  <si>
    <t>Angelica Colouring Book</t>
  </si>
  <si>
    <t>Navy Library</t>
  </si>
  <si>
    <t>Osum's Ocean Odyssey : Discovering Wonders and Friends Under The Sea-2</t>
  </si>
  <si>
    <t>Osum's Ocean Odyssey : Discovering Wonders and Friends Under The Sea-1</t>
  </si>
  <si>
    <t>Osum's Ocean Odyssey-2</t>
  </si>
  <si>
    <t>Osum's Ocean Odyssey-1</t>
  </si>
  <si>
    <t>Science &amp; Spirituality - Understanding Cosmic and Human Science</t>
  </si>
  <si>
    <t>Riya Meenghani</t>
  </si>
  <si>
    <t>A Handful of Dewdrops</t>
  </si>
  <si>
    <t>Home Run</t>
  </si>
  <si>
    <t>Cantonment Chronicles</t>
  </si>
  <si>
    <t>The EnQ Mantra</t>
  </si>
  <si>
    <t>Discover the Rama in You</t>
  </si>
  <si>
    <t>The 9 Effect</t>
  </si>
  <si>
    <t>Total No of Books</t>
  </si>
  <si>
    <t>The Quest of my Lost Love</t>
  </si>
  <si>
    <t>Sanjay Lazar</t>
  </si>
  <si>
    <t>Mayan Routes Indian Roots</t>
  </si>
  <si>
    <t>Diya Santosh</t>
  </si>
  <si>
    <t>Iris ? Iris</t>
  </si>
  <si>
    <t>The Unnamed Train</t>
  </si>
  <si>
    <t>Died &amp; Back</t>
  </si>
  <si>
    <t>Vandana Shrivastava</t>
  </si>
  <si>
    <t>Society/Institution Name</t>
  </si>
  <si>
    <t>Month Organised</t>
  </si>
  <si>
    <t>Year</t>
  </si>
  <si>
    <t>No of Books Sold</t>
  </si>
  <si>
    <t>Nyati Estate</t>
  </si>
  <si>
    <t>Nyati Windchimes</t>
  </si>
  <si>
    <t>Clover Highlands</t>
  </si>
  <si>
    <t>Address</t>
  </si>
  <si>
    <t>Kalpatru Estate</t>
  </si>
  <si>
    <t>Salunke Vihar</t>
  </si>
  <si>
    <t>AFMC</t>
  </si>
  <si>
    <t>Diwali Stall, Clover Highlands</t>
  </si>
  <si>
    <t>Naval Officers' Residential Area</t>
  </si>
  <si>
    <t>October</t>
  </si>
  <si>
    <t>NO OF BOOKS SOLD</t>
  </si>
  <si>
    <t>Domestic Terminal</t>
  </si>
  <si>
    <t>International Terminal</t>
  </si>
  <si>
    <t>Paid</t>
  </si>
  <si>
    <t>Books Received</t>
  </si>
  <si>
    <t>NA</t>
  </si>
  <si>
    <t>Quantum Healing</t>
  </si>
  <si>
    <t>Jaishree Laxmikant</t>
  </si>
  <si>
    <t>Ritu Rawat</t>
  </si>
  <si>
    <t>Operation Sarp Vinash</t>
  </si>
  <si>
    <t>Coomar - Story of Major Sudhir Walia</t>
  </si>
  <si>
    <t>Justice and Jokes</t>
  </si>
  <si>
    <t>Printers in Pune</t>
  </si>
  <si>
    <t>Shiv Mathur</t>
  </si>
  <si>
    <t>Ashwini R Sane</t>
  </si>
  <si>
    <t>Trinity</t>
  </si>
  <si>
    <t>Contact</t>
  </si>
  <si>
    <t>Cost per Page</t>
  </si>
  <si>
    <t>40 paisa</t>
  </si>
  <si>
    <t>Abhay Phalke</t>
  </si>
  <si>
    <t>Print Impressions</t>
  </si>
  <si>
    <t>50 paisa</t>
  </si>
  <si>
    <t>Courier Cost</t>
  </si>
  <si>
    <t>Free</t>
  </si>
  <si>
    <t>LIST OF BOOKS FOR GOA BOOK FAIR</t>
  </si>
  <si>
    <t>No of Copies received</t>
  </si>
  <si>
    <t>Reaping Rewards</t>
  </si>
  <si>
    <t>Divine verse Abhang Gatha - Sant Tukaram Vol-1</t>
  </si>
  <si>
    <t>The Mysterious Creepers of Pinewood</t>
  </si>
  <si>
    <t>I am so Hacked</t>
  </si>
  <si>
    <t>We are so Hacked</t>
  </si>
  <si>
    <t>Osum's Colouring Book</t>
  </si>
  <si>
    <t>Applied Spirituality</t>
  </si>
  <si>
    <t>In Their Tiny Shoes</t>
  </si>
  <si>
    <t>Duration of Event</t>
  </si>
  <si>
    <t>90 minutes</t>
  </si>
  <si>
    <t>6 hours</t>
  </si>
  <si>
    <t>9 days</t>
  </si>
  <si>
    <t>2 hours</t>
  </si>
  <si>
    <t>5 days</t>
  </si>
  <si>
    <t>Nandini Cardaso</t>
  </si>
  <si>
    <t>Saroj Salelkar</t>
  </si>
  <si>
    <t>Thakur College of Engineering</t>
  </si>
  <si>
    <t>Kaleidoscope</t>
  </si>
  <si>
    <t>Colour code is for the Genre, Blue = NF, Pink = F, Yellow =P, Green = C</t>
  </si>
  <si>
    <t>Dr Saroj Salelkar</t>
  </si>
  <si>
    <t>Divine verse Abhang Gatha - 52 Abhangs</t>
  </si>
  <si>
    <t>Pandharpur Wari</t>
  </si>
  <si>
    <t>Nandini Cardoso</t>
  </si>
  <si>
    <t>The Timeless Triad - part-1</t>
  </si>
  <si>
    <t>The Timeless Triad - part-2</t>
  </si>
  <si>
    <t>Saroj Salalkar</t>
  </si>
  <si>
    <t>Vikas Bhatia</t>
  </si>
  <si>
    <t>The Timeless Triad - Part-1</t>
  </si>
  <si>
    <t>The Timeless Triad - Part-2</t>
  </si>
  <si>
    <t>No of copies Sold</t>
  </si>
  <si>
    <t>Day-1 sales</t>
  </si>
  <si>
    <t>Day-2 sales</t>
  </si>
  <si>
    <t>Day-3 sales</t>
  </si>
  <si>
    <t>Day-4 sales</t>
  </si>
  <si>
    <t>Day-5 sales</t>
  </si>
  <si>
    <t>The Whimsical Tales of Whispers &amp; Wonders</t>
  </si>
  <si>
    <t>The Invisible Thread</t>
  </si>
  <si>
    <t>Divine verse Abhang Gatha - Sant Tukaram 52 verses</t>
  </si>
  <si>
    <t>Divine verse Abhang Gatha - Sant Tukaram Vol-1 300 verses</t>
  </si>
  <si>
    <t>Balance Remaining</t>
  </si>
  <si>
    <t>Day-1</t>
  </si>
  <si>
    <t>Day-2</t>
  </si>
  <si>
    <t>Day-3</t>
  </si>
  <si>
    <t>Day-4</t>
  </si>
  <si>
    <t>Day-5</t>
  </si>
  <si>
    <t>Day-6</t>
  </si>
  <si>
    <t>Day-7</t>
  </si>
  <si>
    <t>Sales Record</t>
  </si>
  <si>
    <t>The Light at the Edge</t>
  </si>
  <si>
    <t>Invisible Thread</t>
  </si>
  <si>
    <t>Divine Verse Abhang Gatha - 52 verses</t>
  </si>
  <si>
    <t>The Arjuna in Me</t>
  </si>
  <si>
    <t>The 1 Second Shift to Emotopnal Resilience</t>
  </si>
  <si>
    <t>Arjun in Me</t>
  </si>
  <si>
    <t>The 1 Second Shift</t>
  </si>
  <si>
    <t>Suggested Number of Copies that can be given</t>
  </si>
  <si>
    <t>Nisha Shenoy</t>
  </si>
  <si>
    <t>No</t>
  </si>
  <si>
    <t>Participated in Pune Book fair 13-21 Dec 2025</t>
  </si>
  <si>
    <t>Participated in Goa Book Fair 4-8 Feb  2026</t>
  </si>
  <si>
    <t>Growing Your Inner Wealth</t>
  </si>
  <si>
    <t>LIST OF BOOKS FOR KOLKATTA AIRPORT LIBRARY</t>
  </si>
  <si>
    <t>LIST OF BOOKS FOR MANGALORE AIRPORT LIBRARY</t>
  </si>
  <si>
    <t>Mystrious Pinewood</t>
  </si>
  <si>
    <t>Stories of Courage - Vol-2</t>
  </si>
  <si>
    <t>Stories of Courage - Vol-3</t>
  </si>
  <si>
    <t>The War of Worth</t>
  </si>
  <si>
    <t>Women  of History</t>
  </si>
  <si>
    <t>The Flawed Girl</t>
  </si>
  <si>
    <t>The Friday Girl</t>
  </si>
  <si>
    <t>City</t>
  </si>
  <si>
    <t>Pune</t>
  </si>
  <si>
    <t>Hyderabad</t>
  </si>
  <si>
    <t>Goa</t>
  </si>
  <si>
    <t>Delhi</t>
  </si>
  <si>
    <t>Mumbai</t>
  </si>
  <si>
    <t>Kolkata</t>
  </si>
  <si>
    <t>Bhatinda</t>
  </si>
  <si>
    <t>Ahmedabad</t>
  </si>
  <si>
    <t>Bangalore</t>
  </si>
  <si>
    <t>Dehradun</t>
  </si>
  <si>
    <t>Anand Kumar</t>
  </si>
  <si>
    <t>Gitayan</t>
  </si>
  <si>
    <t>The Courage to Unclock Greatness</t>
  </si>
  <si>
    <t>The Courage to Unlock Greatness</t>
  </si>
  <si>
    <t>Bijall Sheth</t>
  </si>
  <si>
    <t>Dream Pregnancy</t>
  </si>
  <si>
    <t>Whispers from the Womb</t>
  </si>
  <si>
    <t>Women of History</t>
  </si>
  <si>
    <t>War of Worth</t>
  </si>
  <si>
    <t>Work Book</t>
  </si>
  <si>
    <t>The Cantonment Chronicles</t>
  </si>
  <si>
    <t>EnQ Mantra</t>
  </si>
  <si>
    <t>Actual Number of Copies that the author wants to send</t>
  </si>
  <si>
    <t>100 Days of Brain Building</t>
  </si>
  <si>
    <t>Dream Pregnancy - Hindi version</t>
  </si>
  <si>
    <t>Participating in Dehradun Book Fair Mar 2026</t>
  </si>
  <si>
    <t>1 Second Shift, Emotopnal Resilience Workbook</t>
  </si>
  <si>
    <t>SAM Steel and the School of undead</t>
  </si>
  <si>
    <t>Samanyu Salalkar</t>
  </si>
  <si>
    <t>Total Number of Books Sold</t>
  </si>
  <si>
    <t>Day-8</t>
  </si>
  <si>
    <t>Day-9</t>
  </si>
  <si>
    <t>Mukesh Vaswani</t>
  </si>
  <si>
    <t>Dream Build Scale</t>
  </si>
  <si>
    <t xml:space="preserve">Printers Available </t>
  </si>
  <si>
    <t>Mayan Routes Indian Roots - Hindi Version</t>
  </si>
  <si>
    <t>Collection Point for Dispatch</t>
  </si>
  <si>
    <t>Shiva's Cave in Pune</t>
  </si>
  <si>
    <t>Already handed over</t>
  </si>
  <si>
    <t xml:space="preserve">Dream Build Scale </t>
  </si>
  <si>
    <t>Direct to Trivendrum</t>
  </si>
  <si>
    <t>LIST OF BOOKS FOR THIRUVANANTHAPURAM AIRPORT LIBRARY (Collect, Pack, Send &amp; Share the Courier Cost)</t>
  </si>
  <si>
    <t>Authors Offering Publishing Services</t>
  </si>
  <si>
    <t>Books Available or  Received</t>
  </si>
  <si>
    <t>Chetna in Mumbai</t>
  </si>
  <si>
    <t xml:space="preserve">Angelica Angel and the Pappalooza Choozas . . . Storybook,  colouring book,  bookmark and colour pencils </t>
  </si>
  <si>
    <t>Angelica Angel and the Maze of Secrets . . . Storybook, colouring book, bookmark n colour pencils with sharpener</t>
  </si>
  <si>
    <t>Voted or Not</t>
  </si>
  <si>
    <t>Dream, Build, Scale</t>
  </si>
  <si>
    <t>Justice &amp; Jokes</t>
  </si>
  <si>
    <t>Grow Your Inner Wealth</t>
  </si>
  <si>
    <t>Opwration Sarp Vinash</t>
  </si>
  <si>
    <t>Coomar - Story of Maj Sudhir Walia</t>
  </si>
  <si>
    <t>The 1 Second Shift to Emotopnal Resilience Workbook</t>
  </si>
  <si>
    <t>Sanmay Salelkar</t>
  </si>
  <si>
    <t>Sam Steel and the School of Undead</t>
  </si>
  <si>
    <t>Dr Vijaylakshmi</t>
  </si>
  <si>
    <t>Belu's Diary</t>
  </si>
  <si>
    <t>Nyati Estaben</t>
  </si>
  <si>
    <t>Undri</t>
  </si>
  <si>
    <t>3 hours</t>
  </si>
  <si>
    <t>Spilled Coffee</t>
  </si>
  <si>
    <t>Bindu Unnikrishnan</t>
  </si>
  <si>
    <t>Shefali Arora</t>
  </si>
  <si>
    <t>Jalandhar</t>
  </si>
  <si>
    <t>Goa University</t>
  </si>
  <si>
    <t>Naval War College</t>
  </si>
  <si>
    <t>4 hours</t>
  </si>
  <si>
    <t>Bengali Mela Stall</t>
  </si>
  <si>
    <t>Pears and Fears</t>
  </si>
  <si>
    <t>LIST OF BOOKS FOR DEHRADUN BOOK FAIR (4-12 April 2026) 40 Registered Authors</t>
  </si>
  <si>
    <t>Lakshmi Ajoy</t>
  </si>
  <si>
    <t>Coomar - Hindi version</t>
  </si>
  <si>
    <t>Dalhousie Murder</t>
  </si>
  <si>
    <t>No of Authors Participated</t>
  </si>
  <si>
    <t>Cdr Satish Yadav</t>
  </si>
  <si>
    <t>Parvatibai Chowgule College</t>
  </si>
  <si>
    <t>Humour Beyond Borders</t>
  </si>
  <si>
    <t>Nishita Bhardwaj</t>
  </si>
  <si>
    <t>Quantity Sent in Mar 26</t>
  </si>
  <si>
    <t>Quantity Sent in Apr 26</t>
  </si>
  <si>
    <t>Geetmala Jalota</t>
  </si>
  <si>
    <t>The Shattered Ceiling</t>
  </si>
  <si>
    <t>Have the Women Left Venus</t>
  </si>
  <si>
    <t>The Baby Burped on my Battledress</t>
  </si>
  <si>
    <t>Total No of Books Donated</t>
  </si>
  <si>
    <t>Peers and Fears</t>
  </si>
  <si>
    <t>Enlightened Manager</t>
  </si>
  <si>
    <t>In her Tiny Shoes</t>
  </si>
  <si>
    <t>Geet Mala Jalota</t>
  </si>
  <si>
    <t>The Infinite Road</t>
  </si>
  <si>
    <t>Dare Dream Travel</t>
  </si>
  <si>
    <t>Gp Capt Srinivasan</t>
  </si>
  <si>
    <t>Coimbatore</t>
  </si>
  <si>
    <t>The Temple Lore</t>
  </si>
  <si>
    <t>India Mangolia Relations</t>
  </si>
  <si>
    <t>Indo-Asian Geopolitics</t>
  </si>
  <si>
    <t>Borders - Physical, Social and Culturals</t>
  </si>
  <si>
    <t>Peeking at Peking</t>
  </si>
  <si>
    <t>The Routeledge Book of South Asia</t>
  </si>
  <si>
    <t>Africa at Crossroads</t>
  </si>
  <si>
    <t>BOOK-8</t>
  </si>
  <si>
    <t>BOOK-9</t>
  </si>
  <si>
    <t>Musings - A Little About Everything</t>
  </si>
  <si>
    <t>Internal Security</t>
  </si>
  <si>
    <t>Gp Capt R Srinivasan</t>
  </si>
  <si>
    <t>Sanjay Koul</t>
  </si>
  <si>
    <t>The Missing Link</t>
  </si>
  <si>
    <t>Has become very expensive now</t>
  </si>
  <si>
    <t>Bangalore based</t>
  </si>
  <si>
    <t>Siddharth Sen</t>
  </si>
  <si>
    <t>Patna</t>
  </si>
  <si>
    <t>HCL Technologies "Meet the Authors"</t>
  </si>
  <si>
    <t>Format</t>
  </si>
  <si>
    <t>Meet the Authors</t>
  </si>
  <si>
    <t>Stall</t>
  </si>
  <si>
    <t>The Manor</t>
  </si>
  <si>
    <t>How to Win the Inner War</t>
  </si>
  <si>
    <t>Sonarelle</t>
  </si>
  <si>
    <t>Dare Dream  Travel</t>
  </si>
  <si>
    <t>Peers &amp; Fears</t>
  </si>
  <si>
    <t>TOTAL NUMBER OF BOOKS DONATED FOR KOLKATA AIRPORT (Total 74 titles)</t>
  </si>
  <si>
    <t>TOTAL NUMBER OF BOOKS DONATED FOR TIRUVANANTHAPURAM AIRPORT (Total 58 Titles books)</t>
  </si>
  <si>
    <t>TOTAL NUMBER OF BOOKS DONATED FOR MANGALORE AIRPORT - by 68 titles</t>
  </si>
  <si>
    <t>Contact No</t>
  </si>
  <si>
    <t>TATA Motors</t>
  </si>
  <si>
    <t>Marvel Isola</t>
  </si>
  <si>
    <t>Category</t>
  </si>
  <si>
    <t>Housing Society</t>
  </si>
  <si>
    <t>College</t>
  </si>
  <si>
    <t>Fair</t>
  </si>
  <si>
    <t>Book Fair</t>
  </si>
  <si>
    <t>Corporate Office</t>
  </si>
  <si>
    <t>Nyati Exotica</t>
  </si>
  <si>
    <t>LIST OF LITERARY EVENT/STALL ORGANISED AND PARTICIPATION IN BOOK FAIR, SINCE INCEPTION OF THIS GROUP</t>
  </si>
  <si>
    <t>Year Wise</t>
  </si>
  <si>
    <t>Dr Vishwa Ratan</t>
  </si>
  <si>
    <t>Wish You Were Here</t>
  </si>
  <si>
    <t>A Night in the Emergency Room</t>
  </si>
  <si>
    <t>A Doctor's Journey</t>
  </si>
  <si>
    <t>Pandemic Stories</t>
  </si>
  <si>
    <t>Let's Dance in the Rain Again</t>
  </si>
  <si>
    <t>Luminaire</t>
  </si>
  <si>
    <t>University</t>
  </si>
  <si>
    <t>Neeti Paul</t>
  </si>
  <si>
    <t>60 paisa</t>
  </si>
  <si>
    <t>Note * free within Pune Mumbai Delhi</t>
  </si>
  <si>
    <t>Participating</t>
  </si>
  <si>
    <t>Geetmala</t>
  </si>
  <si>
    <t>Reyanshi</t>
  </si>
  <si>
    <t>Bindu</t>
  </si>
  <si>
    <t>Author</t>
  </si>
  <si>
    <t>Vandana</t>
  </si>
  <si>
    <t>Divya</t>
  </si>
  <si>
    <t>Jun</t>
  </si>
  <si>
    <t>Dempo College</t>
  </si>
  <si>
    <t>Jaishree</t>
  </si>
  <si>
    <t>Deepti Kolta</t>
  </si>
  <si>
    <t>HCL</t>
  </si>
  <si>
    <t>Dempo College, Goa</t>
  </si>
  <si>
    <t>Chowgule College, Margao</t>
  </si>
  <si>
    <t>Naval Station Mandovi, Goa</t>
  </si>
  <si>
    <t>Himani Paranjpe</t>
  </si>
  <si>
    <t>89833 47596</t>
  </si>
  <si>
    <t>Elefun Tales</t>
  </si>
  <si>
    <t>Pratima Kapur</t>
  </si>
  <si>
    <t>Date Registered</t>
  </si>
  <si>
    <t>TATA Motors CV</t>
  </si>
  <si>
    <t>TATA Motors PV</t>
  </si>
  <si>
    <t>TATA Motors Jaguar</t>
  </si>
  <si>
    <t>TATA Motors Chinchwad</t>
  </si>
  <si>
    <t>Tata Motors CV</t>
  </si>
  <si>
    <t>TATA Motors PV-1</t>
  </si>
  <si>
    <t>TATA Motors PV-2</t>
  </si>
  <si>
    <t>TATA Motors PV-3</t>
  </si>
  <si>
    <t>TATA Motors Jaguar Land Rover</t>
  </si>
  <si>
    <t>TATA Chinchwad Plant</t>
  </si>
  <si>
    <t>5 hours</t>
  </si>
  <si>
    <t>Diya Santhosh</t>
  </si>
  <si>
    <t>Aug-Sept</t>
  </si>
  <si>
    <t>Not yet fixed</t>
  </si>
  <si>
    <t>Srinagar Book Fair</t>
  </si>
  <si>
    <t>Srinagar</t>
  </si>
  <si>
    <t>The Baby Burped on my Battle Dress</t>
  </si>
  <si>
    <t>GpCapt Srinivasan</t>
  </si>
  <si>
    <t>OOPS ! I Messed up Again</t>
  </si>
  <si>
    <t>OOPs ! I Messed up Again</t>
  </si>
  <si>
    <t>Vishwa Ratan</t>
  </si>
  <si>
    <t>Wish you were here</t>
  </si>
  <si>
    <t>Whispers of the heart</t>
  </si>
  <si>
    <t>Humour beyond Borders</t>
  </si>
  <si>
    <t>Army Law College</t>
  </si>
  <si>
    <t xml:space="preserve">Persistent Systems  </t>
  </si>
  <si>
    <t>Persistent Systems</t>
  </si>
  <si>
    <t>Goa Book Fair</t>
  </si>
  <si>
    <t>Pune Book Fair</t>
  </si>
  <si>
    <t>Dehradun Book Fair</t>
  </si>
  <si>
    <t>Persistent Systems Erandwane</t>
  </si>
  <si>
    <t>Persistent Systems Hinjewadi</t>
  </si>
  <si>
    <t>Visakhapatnam</t>
  </si>
  <si>
    <t>Naval Base Eastern Naval Command</t>
  </si>
  <si>
    <t>Jul</t>
  </si>
  <si>
    <t>Nyati Ethos</t>
  </si>
  <si>
    <t>Hills &amp; Dales</t>
  </si>
  <si>
    <t>Life Park</t>
  </si>
  <si>
    <t>Madhuri Maitra</t>
  </si>
  <si>
    <t>Geetanjali Mehra</t>
  </si>
  <si>
    <t xml:space="preserve"> 2 hours</t>
  </si>
  <si>
    <t>Actual Number of Copies that the author sent</t>
  </si>
  <si>
    <t>LIST OF BOOKS SRINAGAR BOOK FAIR (18-26 Jul 2026) 26 Registered Authors</t>
  </si>
  <si>
    <t>Equinox</t>
  </si>
  <si>
    <t>Haiku and Other Poetry</t>
  </si>
  <si>
    <t>GenZ Slow Down</t>
  </si>
  <si>
    <t>Abhang</t>
  </si>
  <si>
    <t>LIST OF BOOKS FOR PUNE AIRPORT FLYBRARY JUN 2026</t>
  </si>
  <si>
    <t>A Scientific Look</t>
  </si>
  <si>
    <t>Anil Vishnu Moharir</t>
  </si>
  <si>
    <t>Science and Relevance of Vedic Concepts</t>
  </si>
  <si>
    <t>GenZ : Pause Slow Down to Slay</t>
  </si>
  <si>
    <t>Ari Tamang</t>
  </si>
  <si>
    <t>Whispers of the Heart</t>
  </si>
  <si>
    <t>Irsi ? Iris</t>
  </si>
  <si>
    <t>OOPS ! I Messed Up Again</t>
  </si>
  <si>
    <t>Kundan Peak</t>
  </si>
  <si>
    <t>TOTAL NUMBER OF BOOKS DONATED TO THE PUNE AIRPORT (Total 47 Titles/books)</t>
  </si>
  <si>
    <t>Deloitte</t>
  </si>
  <si>
    <t>Eastern Naval Command, Visakhapatnam</t>
  </si>
  <si>
    <t xml:space="preserve">Aug </t>
  </si>
  <si>
    <t>8 days</t>
  </si>
  <si>
    <t>Program</t>
  </si>
  <si>
    <t>Date</t>
  </si>
  <si>
    <t>Timings</t>
  </si>
  <si>
    <t>Remarks</t>
  </si>
  <si>
    <t>Story Writing Competition</t>
  </si>
  <si>
    <t>Age group : 12 to 17 years</t>
  </si>
  <si>
    <t>Age group : 07 to 12 years</t>
  </si>
  <si>
    <t>Prize Distribution Story Writing Competition</t>
  </si>
  <si>
    <t>Number of participants</t>
  </si>
  <si>
    <t>Ship Visit for Authors</t>
  </si>
  <si>
    <t>14:30 to 16:00 hrs</t>
  </si>
  <si>
    <t>Book Discussion - Author-1</t>
  </si>
  <si>
    <t>Book Discussion - Author-2</t>
  </si>
  <si>
    <t>18:00 to 18:45 hrs</t>
  </si>
  <si>
    <t>19:00 to 19:45 hrs</t>
  </si>
  <si>
    <t>10:00 to 13:00 hrs</t>
  </si>
  <si>
    <t>Lunch</t>
  </si>
  <si>
    <t>13:15 to 14:00 hrs</t>
  </si>
  <si>
    <t>16:30 to 17:15 hrs</t>
  </si>
  <si>
    <t>17:30 to 18:15 hrs</t>
  </si>
  <si>
    <t>18:30 to 19:30 hrs</t>
  </si>
  <si>
    <t>19:30 to 20:00 hrs</t>
  </si>
  <si>
    <t>Musical Program by the Children</t>
  </si>
  <si>
    <t>Closing Remarks</t>
  </si>
  <si>
    <t>19:45 to 20:00 hrs</t>
  </si>
  <si>
    <t xml:space="preserve">Author interaction </t>
  </si>
  <si>
    <t>Visit to the Beach, etc</t>
  </si>
  <si>
    <t>14:30 to 17:00 hrs</t>
  </si>
  <si>
    <t>15 Aug evening program</t>
  </si>
  <si>
    <t>16 Aug morning program</t>
  </si>
  <si>
    <t>16 Aug evening program</t>
  </si>
  <si>
    <t>Kundan Peak Hsg Soc</t>
  </si>
  <si>
    <t>Hills &amp; Dales Hsg Soc</t>
  </si>
  <si>
    <t>Nyati Ethos Hsg Soc</t>
  </si>
  <si>
    <t>Nyati Exotica Hsg Soc</t>
  </si>
  <si>
    <t>Life Park Hsg Soc</t>
  </si>
  <si>
    <t>Nyati Estate Hsg Soc</t>
  </si>
  <si>
    <t>Marvel Isola Hsg Soc</t>
  </si>
  <si>
    <t>Participating in Srinagar Book Fair Jul 2026</t>
  </si>
  <si>
    <t>LIST OF REGISTERED AUTHORS IN THE GROUP (Pune = 27, Mumbai = 07, Delhi =02, Goa =02, Bangalore=02, Hyderabad=02, Dehradun=02, Kolkata, Ahmedabad, Bhatinda, Jalandhar, Coimbatore, Patna = 01 each)</t>
  </si>
  <si>
    <t>Organisiation/Hsg Society/Institute</t>
  </si>
  <si>
    <t>MIT WPU</t>
  </si>
  <si>
    <t>Navy Mumbai</t>
  </si>
  <si>
    <t>HQSC Army</t>
  </si>
  <si>
    <t>No progress</t>
  </si>
  <si>
    <t>No response</t>
  </si>
  <si>
    <t>Partial response</t>
  </si>
  <si>
    <t>Confirmed date to be finalised</t>
  </si>
  <si>
    <t>Clover Village Hsg Society</t>
  </si>
  <si>
    <t>Agreed to conduct but no further response</t>
  </si>
  <si>
    <t>Follow up required</t>
  </si>
  <si>
    <t>Agreed then no response</t>
  </si>
  <si>
    <t>Dropped</t>
  </si>
  <si>
    <t>Flower Valley Hsg Society</t>
  </si>
  <si>
    <t>Green Valley Hsg Society</t>
  </si>
  <si>
    <t>View this as commercial</t>
  </si>
  <si>
    <t>Oxford Village</t>
  </si>
  <si>
    <t>Needs a follow up</t>
  </si>
  <si>
    <t>Raheja Gardens</t>
  </si>
  <si>
    <t>Partly agreed</t>
  </si>
  <si>
    <t>Ganga Satellite Hsg Society</t>
  </si>
  <si>
    <t>Being pursued</t>
  </si>
  <si>
    <t>Hills &amp; Dales Hsg Society</t>
  </si>
  <si>
    <t>Nyati Ethos Hsg Society</t>
  </si>
  <si>
    <t>Confirmed but date not finalised</t>
  </si>
  <si>
    <t>I am following up</t>
  </si>
  <si>
    <t>Final Status</t>
  </si>
  <si>
    <t>Status</t>
  </si>
  <si>
    <t>Eastern Naval Command</t>
  </si>
  <si>
    <t>Agreed &amp; Being discussed</t>
  </si>
  <si>
    <t>Jammu University</t>
  </si>
  <si>
    <t>Preliminary discussion for organising</t>
  </si>
  <si>
    <t>Accenture</t>
  </si>
  <si>
    <t>Letter sent after discussing with an employee</t>
  </si>
  <si>
    <t>JP Morgan Chase</t>
  </si>
  <si>
    <t>SEZ so only display allowed. Awaiting approval</t>
  </si>
  <si>
    <t>Capgemini</t>
  </si>
  <si>
    <t>Thinking of dropping it</t>
  </si>
  <si>
    <t>Need to approach through a different channel</t>
  </si>
  <si>
    <t>Being worked out internally</t>
  </si>
  <si>
    <t>PWC</t>
  </si>
  <si>
    <t>Being figured out internally</t>
  </si>
  <si>
    <t>North East Sector</t>
  </si>
  <si>
    <t>Planned. Some discussion have been had</t>
  </si>
  <si>
    <t>Mangalore University</t>
  </si>
  <si>
    <t>Planning to approach them</t>
  </si>
  <si>
    <t>Air Force Station, Pune</t>
  </si>
  <si>
    <t>Written to them but no response yet</t>
  </si>
  <si>
    <t>Delhi Public School</t>
  </si>
  <si>
    <t>Various attempts have been made and hoping to conclude soon</t>
  </si>
  <si>
    <t>Bishops School</t>
  </si>
  <si>
    <t>Nyati Windchimes Hsg Society</t>
  </si>
  <si>
    <t>Will be repeated. It was done last year</t>
  </si>
  <si>
    <t>NDA</t>
  </si>
  <si>
    <t>Letter sent. Latest update is that it is being deliberated</t>
  </si>
  <si>
    <t>Magarpatta</t>
  </si>
  <si>
    <t>Writen to them on 17 Jun</t>
  </si>
  <si>
    <t>WIPRO</t>
  </si>
  <si>
    <t>Letter written but no response. This was through Author Nishit Gupta</t>
  </si>
  <si>
    <t>Kaiser Permanent</t>
  </si>
  <si>
    <t>Vikhe Patil School, Pune</t>
  </si>
  <si>
    <t>Letter written but no response. Author Bindu works there.</t>
  </si>
  <si>
    <t>IISER, Pune</t>
  </si>
  <si>
    <t>Letter written but no response. Author Bindu's husband works there.</t>
  </si>
  <si>
    <t>IIT Mumbai</t>
  </si>
  <si>
    <t>Discussion had with the literary society. Did not agree</t>
  </si>
  <si>
    <t>California Hsg Society, Pune</t>
  </si>
  <si>
    <t>Agreed but never finalised. Author Vandana lives there</t>
  </si>
  <si>
    <t>Participating in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</si>
</sst>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left" vertical="center" wrapText="1" indent="2"/>
    </xf>
    <xf numFmtId="2" fontId="1" fillId="5" borderId="1" xfId="0" applyNumberFormat="1" applyFont="1" applyFill="1" applyBorder="1" applyAlignment="1">
      <alignment horizontal="left" vertical="center" wrapText="1" indent="2"/>
    </xf>
    <xf numFmtId="2" fontId="1" fillId="0" borderId="0" xfId="0" applyNumberFormat="1" applyFont="1" applyAlignment="1">
      <alignment horizontal="left" vertical="center" wrapText="1" indent="2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left" vertical="center" wrapText="1" indent="2"/>
    </xf>
    <xf numFmtId="0" fontId="1" fillId="4" borderId="1" xfId="0" applyFont="1" applyFill="1" applyBorder="1" applyAlignment="1">
      <alignment vertical="center" wrapText="1"/>
    </xf>
    <xf numFmtId="17" fontId="3" fillId="6" borderId="6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17" fontId="3" fillId="6" borderId="1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5" fontId="1" fillId="0" borderId="1" xfId="0" applyNumberFormat="1" applyFont="1" applyBorder="1" applyAlignment="1">
      <alignment horizontal="left" vertical="center" wrapText="1"/>
    </xf>
    <xf numFmtId="0" fontId="1" fillId="9" borderId="6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horizontal="center" vertical="center" wrapText="1"/>
    </xf>
    <xf numFmtId="0" fontId="2" fillId="16" borderId="20" xfId="0" applyFont="1" applyFill="1" applyBorder="1" applyAlignment="1">
      <alignment horizontal="center" vertical="center" wrapText="1"/>
    </xf>
    <xf numFmtId="0" fontId="1" fillId="17" borderId="14" xfId="0" applyFont="1" applyFill="1" applyBorder="1" applyAlignment="1">
      <alignment horizontal="center" vertical="center" wrapText="1"/>
    </xf>
    <xf numFmtId="0" fontId="1" fillId="9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1" fillId="17" borderId="5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1" fillId="25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 wrapText="1"/>
    </xf>
    <xf numFmtId="0" fontId="1" fillId="9" borderId="6" xfId="0" applyFont="1" applyFill="1" applyBorder="1"/>
    <xf numFmtId="0" fontId="4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 vertical="top" wrapText="1"/>
    </xf>
    <xf numFmtId="0" fontId="9" fillId="26" borderId="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vertical="center" wrapText="1"/>
    </xf>
    <xf numFmtId="0" fontId="1" fillId="27" borderId="1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" fillId="16" borderId="2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17" borderId="25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5" fillId="15" borderId="28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9" fillId="27" borderId="28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left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7" borderId="6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1" fillId="0" borderId="2" xfId="0" applyFont="1" applyBorder="1"/>
    <xf numFmtId="0" fontId="5" fillId="0" borderId="30" xfId="0" applyFont="1" applyBorder="1" applyAlignment="1">
      <alignment horizontal="center"/>
    </xf>
    <xf numFmtId="0" fontId="1" fillId="29" borderId="1" xfId="0" applyFont="1" applyFill="1" applyBorder="1" applyAlignment="1">
      <alignment horizontal="left" vertical="center" wrapText="1"/>
    </xf>
    <xf numFmtId="0" fontId="1" fillId="30" borderId="1" xfId="0" applyFont="1" applyFill="1" applyBorder="1" applyAlignment="1">
      <alignment horizontal="left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vertical="center" wrapText="1"/>
    </xf>
    <xf numFmtId="0" fontId="5" fillId="16" borderId="2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30" borderId="6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1" fillId="28" borderId="6" xfId="0" applyFont="1" applyFill="1" applyBorder="1" applyAlignment="1">
      <alignment horizontal="center" vertical="center" wrapText="1"/>
    </xf>
    <xf numFmtId="0" fontId="5" fillId="18" borderId="2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1" fillId="9" borderId="4" xfId="0" applyFont="1" applyFill="1" applyBorder="1"/>
    <xf numFmtId="0" fontId="1" fillId="0" borderId="0" xfId="0" applyFont="1"/>
    <xf numFmtId="0" fontId="1" fillId="0" borderId="4" xfId="0" applyFont="1" applyBorder="1"/>
    <xf numFmtId="0" fontId="1" fillId="16" borderId="2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7" borderId="18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left" vertical="center" wrapText="1"/>
    </xf>
    <xf numFmtId="0" fontId="1" fillId="2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5" fontId="1" fillId="15" borderId="1" xfId="0" applyNumberFormat="1" applyFont="1" applyFill="1" applyBorder="1" applyAlignment="1">
      <alignment horizontal="center" vertical="center" wrapText="1"/>
    </xf>
    <xf numFmtId="0" fontId="1" fillId="32" borderId="32" xfId="0" applyFont="1" applyFill="1" applyBorder="1" applyAlignment="1">
      <alignment horizontal="center" vertical="center" wrapText="1"/>
    </xf>
    <xf numFmtId="0" fontId="1" fillId="29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6" fontId="1" fillId="0" borderId="2" xfId="0" applyNumberFormat="1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1" fillId="3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left" vertical="center" wrapText="1"/>
    </xf>
    <xf numFmtId="0" fontId="5" fillId="15" borderId="30" xfId="0" applyFont="1" applyFill="1" applyBorder="1" applyAlignment="1">
      <alignment horizontal="center" vertical="center" wrapText="1"/>
    </xf>
    <xf numFmtId="0" fontId="5" fillId="16" borderId="30" xfId="0" applyFont="1" applyFill="1" applyBorder="1" applyAlignment="1">
      <alignment horizontal="center" vertical="center" wrapText="1"/>
    </xf>
    <xf numFmtId="0" fontId="9" fillId="27" borderId="30" xfId="0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" fillId="40" borderId="1" xfId="0" applyFont="1" applyFill="1" applyBorder="1" applyAlignment="1">
      <alignment horizontal="center" vertical="center" wrapText="1"/>
    </xf>
    <xf numFmtId="0" fontId="1" fillId="40" borderId="1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left" vertical="center" wrapText="1"/>
    </xf>
    <xf numFmtId="0" fontId="1" fillId="34" borderId="1" xfId="0" applyFont="1" applyFill="1" applyBorder="1" applyAlignment="1">
      <alignment vertical="center" wrapText="1"/>
    </xf>
    <xf numFmtId="15" fontId="1" fillId="34" borderId="1" xfId="0" applyNumberFormat="1" applyFont="1" applyFill="1" applyBorder="1" applyAlignment="1">
      <alignment horizontal="center" vertical="center" wrapText="1"/>
    </xf>
    <xf numFmtId="15" fontId="1" fillId="9" borderId="1" xfId="0" applyNumberFormat="1" applyFont="1" applyFill="1" applyBorder="1" applyAlignment="1">
      <alignment horizontal="center" vertical="center" wrapText="1"/>
    </xf>
    <xf numFmtId="15" fontId="1" fillId="7" borderId="1" xfId="0" applyNumberFormat="1" applyFont="1" applyFill="1" applyBorder="1" applyAlignment="1">
      <alignment horizontal="center" vertical="center" wrapText="1"/>
    </xf>
    <xf numFmtId="20" fontId="1" fillId="9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15" fontId="1" fillId="5" borderId="1" xfId="0" applyNumberFormat="1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15" borderId="29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1" fillId="31" borderId="31" xfId="0" applyFont="1" applyFill="1" applyBorder="1" applyAlignment="1">
      <alignment horizontal="center" vertical="center" wrapText="1"/>
    </xf>
    <xf numFmtId="0" fontId="1" fillId="31" borderId="32" xfId="0" applyFont="1" applyFill="1" applyBorder="1" applyAlignment="1">
      <alignment horizontal="center" vertical="center" wrapText="1"/>
    </xf>
    <xf numFmtId="0" fontId="1" fillId="31" borderId="30" xfId="0" applyFont="1" applyFill="1" applyBorder="1" applyAlignment="1">
      <alignment horizontal="center" vertical="center" wrapText="1"/>
    </xf>
    <xf numFmtId="0" fontId="1" fillId="32" borderId="32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1" fillId="14" borderId="33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3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21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5" borderId="4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2" fillId="40" borderId="5" xfId="0" applyFont="1" applyFill="1" applyBorder="1" applyAlignment="1">
      <alignment horizontal="center" vertical="center" wrapText="1"/>
    </xf>
    <xf numFmtId="0" fontId="2" fillId="40" borderId="6" xfId="0" applyFont="1" applyFill="1" applyBorder="1" applyAlignment="1">
      <alignment horizontal="center" vertical="center" wrapText="1"/>
    </xf>
    <xf numFmtId="0" fontId="2" fillId="40" borderId="2" xfId="0" applyFont="1" applyFill="1" applyBorder="1" applyAlignment="1">
      <alignment horizontal="center" vertical="center" wrapText="1"/>
    </xf>
    <xf numFmtId="0" fontId="2" fillId="40" borderId="4" xfId="0" applyFont="1" applyFill="1" applyBorder="1" applyAlignment="1">
      <alignment horizontal="center" vertical="center" wrapText="1"/>
    </xf>
    <xf numFmtId="16" fontId="2" fillId="40" borderId="5" xfId="0" applyNumberFormat="1" applyFont="1" applyFill="1" applyBorder="1" applyAlignment="1">
      <alignment horizontal="center" vertical="center" wrapText="1"/>
    </xf>
    <xf numFmtId="16" fontId="2" fillId="40" borderId="6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33" borderId="2" xfId="0" applyFont="1" applyFill="1" applyBorder="1" applyAlignment="1">
      <alignment horizontal="center" vertical="center" wrapText="1"/>
    </xf>
    <xf numFmtId="0" fontId="2" fillId="3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16" fontId="2" fillId="12" borderId="1" xfId="0" applyNumberFormat="1" applyFont="1" applyFill="1" applyBorder="1" applyAlignment="1">
      <alignment horizontal="center" vertical="center" wrapText="1"/>
    </xf>
    <xf numFmtId="16" fontId="2" fillId="33" borderId="1" xfId="0" applyNumberFormat="1" applyFont="1" applyFill="1" applyBorder="1" applyAlignment="1">
      <alignment horizontal="center" vertical="center" wrapText="1"/>
    </xf>
    <xf numFmtId="16" fontId="2" fillId="37" borderId="5" xfId="0" applyNumberFormat="1" applyFont="1" applyFill="1" applyBorder="1" applyAlignment="1">
      <alignment horizontal="center" vertical="center" wrapText="1"/>
    </xf>
    <xf numFmtId="16" fontId="2" fillId="37" borderId="6" xfId="0" applyNumberFormat="1" applyFont="1" applyFill="1" applyBorder="1" applyAlignment="1">
      <alignment horizontal="center" vertical="center" wrapText="1"/>
    </xf>
    <xf numFmtId="0" fontId="2" fillId="37" borderId="5" xfId="0" applyFont="1" applyFill="1" applyBorder="1" applyAlignment="1">
      <alignment horizontal="center" vertical="center" wrapText="1"/>
    </xf>
    <xf numFmtId="0" fontId="2" fillId="37" borderId="6" xfId="0" applyFont="1" applyFill="1" applyBorder="1" applyAlignment="1">
      <alignment horizontal="center" vertical="center" wrapText="1"/>
    </xf>
    <xf numFmtId="0" fontId="2" fillId="37" borderId="2" xfId="0" applyFont="1" applyFill="1" applyBorder="1" applyAlignment="1">
      <alignment horizontal="center" vertical="center" wrapText="1"/>
    </xf>
    <xf numFmtId="0" fontId="2" fillId="37" borderId="4" xfId="0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" fillId="34" borderId="4" xfId="0" applyFont="1" applyFill="1" applyBorder="1" applyAlignment="1">
      <alignment horizontal="center" vertical="center" wrapText="1"/>
    </xf>
    <xf numFmtId="0" fontId="2" fillId="34" borderId="5" xfId="0" applyFont="1" applyFill="1" applyBorder="1" applyAlignment="1">
      <alignment horizontal="center" vertical="center" wrapText="1"/>
    </xf>
    <xf numFmtId="0" fontId="2" fillId="34" borderId="6" xfId="0" applyFont="1" applyFill="1" applyBorder="1" applyAlignment="1">
      <alignment horizontal="center" vertical="center" wrapText="1"/>
    </xf>
    <xf numFmtId="16" fontId="2" fillId="34" borderId="5" xfId="0" applyNumberFormat="1" applyFont="1" applyFill="1" applyBorder="1" applyAlignment="1">
      <alignment horizontal="center" vertical="center" wrapText="1"/>
    </xf>
    <xf numFmtId="16" fontId="2" fillId="34" borderId="6" xfId="0" applyNumberFormat="1" applyFont="1" applyFill="1" applyBorder="1" applyAlignment="1">
      <alignment horizontal="center" vertical="center" wrapText="1"/>
    </xf>
    <xf numFmtId="16" fontId="2" fillId="35" borderId="5" xfId="0" applyNumberFormat="1" applyFont="1" applyFill="1" applyBorder="1" applyAlignment="1">
      <alignment horizontal="center" vertical="center" wrapText="1"/>
    </xf>
    <xf numFmtId="16" fontId="2" fillId="35" borderId="6" xfId="0" applyNumberFormat="1" applyFont="1" applyFill="1" applyBorder="1" applyAlignment="1">
      <alignment horizontal="center" vertical="center" wrapText="1"/>
    </xf>
    <xf numFmtId="0" fontId="2" fillId="35" borderId="5" xfId="0" applyFont="1" applyFill="1" applyBorder="1" applyAlignment="1">
      <alignment horizontal="center" vertical="center" wrapText="1"/>
    </xf>
    <xf numFmtId="0" fontId="2" fillId="35" borderId="6" xfId="0" applyFont="1" applyFill="1" applyBorder="1" applyAlignment="1">
      <alignment horizontal="center" vertical="center" wrapText="1"/>
    </xf>
    <xf numFmtId="0" fontId="2" fillId="35" borderId="2" xfId="0" applyFont="1" applyFill="1" applyBorder="1" applyAlignment="1">
      <alignment horizontal="center" vertical="center" wrapText="1"/>
    </xf>
    <xf numFmtId="0" fontId="2" fillId="35" borderId="4" xfId="0" applyFont="1" applyFill="1" applyBorder="1" applyAlignment="1">
      <alignment horizontal="center" vertical="center" wrapText="1"/>
    </xf>
    <xf numFmtId="16" fontId="2" fillId="36" borderId="5" xfId="0" applyNumberFormat="1" applyFont="1" applyFill="1" applyBorder="1" applyAlignment="1">
      <alignment horizontal="center" vertical="center" wrapText="1"/>
    </xf>
    <xf numFmtId="16" fontId="2" fillId="36" borderId="6" xfId="0" applyNumberFormat="1" applyFont="1" applyFill="1" applyBorder="1" applyAlignment="1">
      <alignment horizontal="center" vertical="center" wrapText="1"/>
    </xf>
    <xf numFmtId="0" fontId="2" fillId="36" borderId="5" xfId="0" applyFont="1" applyFill="1" applyBorder="1" applyAlignment="1">
      <alignment horizontal="center" vertical="center" wrapText="1"/>
    </xf>
    <xf numFmtId="0" fontId="2" fillId="36" borderId="6" xfId="0" applyFont="1" applyFill="1" applyBorder="1" applyAlignment="1">
      <alignment horizontal="center" vertical="center" wrapText="1"/>
    </xf>
    <xf numFmtId="0" fontId="2" fillId="36" borderId="2" xfId="0" applyFont="1" applyFill="1" applyBorder="1" applyAlignment="1">
      <alignment horizontal="center" vertical="center" wrapText="1"/>
    </xf>
    <xf numFmtId="0" fontId="2" fillId="36" borderId="4" xfId="0" applyFont="1" applyFill="1" applyBorder="1" applyAlignment="1">
      <alignment horizontal="center" vertical="center" wrapText="1"/>
    </xf>
    <xf numFmtId="16" fontId="2" fillId="28" borderId="5" xfId="0" applyNumberFormat="1" applyFont="1" applyFill="1" applyBorder="1" applyAlignment="1">
      <alignment horizontal="center" vertical="center" wrapText="1"/>
    </xf>
    <xf numFmtId="16" fontId="2" fillId="28" borderId="6" xfId="0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2" fillId="28" borderId="6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6" fontId="2" fillId="39" borderId="5" xfId="0" applyNumberFormat="1" applyFont="1" applyFill="1" applyBorder="1" applyAlignment="1">
      <alignment horizontal="center" vertical="center" wrapText="1"/>
    </xf>
    <xf numFmtId="16" fontId="2" fillId="39" borderId="6" xfId="0" applyNumberFormat="1" applyFont="1" applyFill="1" applyBorder="1" applyAlignment="1">
      <alignment horizontal="center" vertical="center" wrapText="1"/>
    </xf>
    <xf numFmtId="16" fontId="2" fillId="38" borderId="5" xfId="0" applyNumberFormat="1" applyFont="1" applyFill="1" applyBorder="1" applyAlignment="1">
      <alignment horizontal="center" vertical="center" wrapText="1"/>
    </xf>
    <xf numFmtId="16" fontId="2" fillId="38" borderId="6" xfId="0" applyNumberFormat="1" applyFont="1" applyFill="1" applyBorder="1" applyAlignment="1">
      <alignment horizontal="center" vertical="center" wrapText="1"/>
    </xf>
    <xf numFmtId="0" fontId="2" fillId="39" borderId="5" xfId="0" applyFont="1" applyFill="1" applyBorder="1" applyAlignment="1">
      <alignment horizontal="center" vertical="center" wrapText="1"/>
    </xf>
    <xf numFmtId="0" fontId="2" fillId="39" borderId="6" xfId="0" applyFont="1" applyFill="1" applyBorder="1" applyAlignment="1">
      <alignment horizontal="center" vertical="center" wrapText="1"/>
    </xf>
    <xf numFmtId="0" fontId="2" fillId="38" borderId="5" xfId="0" applyFont="1" applyFill="1" applyBorder="1" applyAlignment="1">
      <alignment horizontal="center" vertical="center" wrapText="1"/>
    </xf>
    <xf numFmtId="0" fontId="2" fillId="38" borderId="6" xfId="0" applyFont="1" applyFill="1" applyBorder="1" applyAlignment="1">
      <alignment horizontal="center" vertical="center" wrapText="1"/>
    </xf>
    <xf numFmtId="0" fontId="2" fillId="39" borderId="2" xfId="0" applyFont="1" applyFill="1" applyBorder="1" applyAlignment="1">
      <alignment horizontal="center" vertical="center" wrapText="1"/>
    </xf>
    <xf numFmtId="0" fontId="2" fillId="39" borderId="4" xfId="0" applyFont="1" applyFill="1" applyBorder="1" applyAlignment="1">
      <alignment horizontal="center" vertical="center" wrapText="1"/>
    </xf>
    <xf numFmtId="0" fontId="2" fillId="38" borderId="2" xfId="0" applyFont="1" applyFill="1" applyBorder="1" applyAlignment="1">
      <alignment horizontal="center" vertical="center" wrapText="1"/>
    </xf>
    <xf numFmtId="0" fontId="2" fillId="3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00FF00"/>
      <color rgb="FFFF6699"/>
      <color rgb="FF00FF99"/>
      <color rgb="FF66FF99"/>
      <color rgb="FF66FF66"/>
      <color rgb="FFFF99FF"/>
      <color rgb="FF99FF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02EA-E98F-4726-8F1D-20EAAE914AED}">
  <dimension ref="B1:R54"/>
  <sheetViews>
    <sheetView tabSelected="1" topLeftCell="B28" workbookViewId="0">
      <selection activeCell="P11" sqref="P11"/>
    </sheetView>
  </sheetViews>
  <sheetFormatPr defaultColWidth="9.109375" defaultRowHeight="15" x14ac:dyDescent="0.3"/>
  <cols>
    <col min="1" max="1" width="3.21875" style="40" customWidth="1"/>
    <col min="2" max="2" width="6.5546875" style="1" bestFit="1" customWidth="1"/>
    <col min="3" max="3" width="21.6640625" style="40" bestFit="1" customWidth="1"/>
    <col min="4" max="4" width="21.6640625" style="41" hidden="1" customWidth="1"/>
    <col min="5" max="5" width="12.6640625" style="40" bestFit="1" customWidth="1"/>
    <col min="6" max="6" width="12.77734375" style="41" customWidth="1"/>
    <col min="7" max="7" width="13.5546875" style="1" customWidth="1"/>
    <col min="8" max="8" width="12.5546875" style="1" customWidth="1"/>
    <col min="9" max="9" width="14.5546875" style="1" bestFit="1" customWidth="1"/>
    <col min="10" max="10" width="14.5546875" style="1" customWidth="1"/>
    <col min="11" max="11" width="17.88671875" style="1" customWidth="1"/>
    <col min="12" max="12" width="16.33203125" style="1" customWidth="1"/>
    <col min="13" max="14" width="17.44140625" style="1" customWidth="1"/>
    <col min="15" max="15" width="16.109375" style="1" bestFit="1" customWidth="1"/>
    <col min="16" max="16" width="15.5546875" style="1" bestFit="1" customWidth="1"/>
    <col min="17" max="17" width="12.77734375" style="1" bestFit="1" customWidth="1"/>
    <col min="18" max="18" width="18.88671875" style="1" bestFit="1" customWidth="1"/>
    <col min="19" max="16384" width="9.109375" style="40"/>
  </cols>
  <sheetData>
    <row r="1" spans="2:18" ht="35.4" customHeight="1" x14ac:dyDescent="0.3">
      <c r="B1" s="211" t="s">
        <v>673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2:18" s="1" customFormat="1" ht="49.5" customHeight="1" x14ac:dyDescent="0.3">
      <c r="B2" s="2" t="s">
        <v>0</v>
      </c>
      <c r="C2" s="2" t="s">
        <v>1</v>
      </c>
      <c r="D2" s="2" t="s">
        <v>529</v>
      </c>
      <c r="E2" s="2" t="s">
        <v>404</v>
      </c>
      <c r="F2" s="2" t="s">
        <v>571</v>
      </c>
      <c r="G2" s="2" t="s">
        <v>220</v>
      </c>
      <c r="H2" s="2" t="s">
        <v>221</v>
      </c>
      <c r="I2" s="2" t="s">
        <v>223</v>
      </c>
      <c r="J2" s="2" t="s">
        <v>742</v>
      </c>
      <c r="K2" s="2" t="s">
        <v>392</v>
      </c>
      <c r="L2" s="2" t="s">
        <v>393</v>
      </c>
      <c r="M2" s="2" t="s">
        <v>430</v>
      </c>
      <c r="N2" s="2" t="s">
        <v>672</v>
      </c>
      <c r="O2" s="2" t="s">
        <v>224</v>
      </c>
      <c r="P2" s="2" t="s">
        <v>226</v>
      </c>
      <c r="Q2" s="2" t="s">
        <v>227</v>
      </c>
      <c r="R2" s="2" t="s">
        <v>447</v>
      </c>
    </row>
    <row r="3" spans="2:18" x14ac:dyDescent="0.3">
      <c r="B3" s="7"/>
      <c r="C3" s="52"/>
      <c r="D3" s="53"/>
      <c r="E3" s="52"/>
      <c r="F3" s="5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18" x14ac:dyDescent="0.3">
      <c r="B4" s="7">
        <v>1</v>
      </c>
      <c r="C4" s="52" t="s">
        <v>138</v>
      </c>
      <c r="D4" s="53">
        <v>9112180934</v>
      </c>
      <c r="E4" s="44" t="s">
        <v>405</v>
      </c>
      <c r="F4" s="54">
        <v>46007</v>
      </c>
      <c r="G4" s="7" t="s">
        <v>222</v>
      </c>
      <c r="H4" s="7" t="s">
        <v>222</v>
      </c>
      <c r="I4" s="7" t="s">
        <v>313</v>
      </c>
      <c r="J4" s="7" t="s">
        <v>222</v>
      </c>
      <c r="K4" s="7" t="s">
        <v>222</v>
      </c>
      <c r="L4" s="7" t="s">
        <v>222</v>
      </c>
      <c r="M4" s="7" t="s">
        <v>222</v>
      </c>
      <c r="N4" s="7" t="s">
        <v>222</v>
      </c>
      <c r="O4" s="7">
        <v>8</v>
      </c>
      <c r="P4" s="7"/>
      <c r="Q4" s="7"/>
      <c r="R4" s="7"/>
    </row>
    <row r="5" spans="2:18" x14ac:dyDescent="0.3">
      <c r="B5" s="7">
        <v>2</v>
      </c>
      <c r="C5" s="52" t="s">
        <v>140</v>
      </c>
      <c r="D5" s="53">
        <v>8989612031</v>
      </c>
      <c r="E5" s="44" t="s">
        <v>405</v>
      </c>
      <c r="F5" s="54">
        <v>46009</v>
      </c>
      <c r="G5" s="7" t="s">
        <v>222</v>
      </c>
      <c r="H5" s="7" t="s">
        <v>222</v>
      </c>
      <c r="I5" s="7" t="s">
        <v>313</v>
      </c>
      <c r="J5" s="7" t="s">
        <v>222</v>
      </c>
      <c r="K5" s="7" t="s">
        <v>313</v>
      </c>
      <c r="L5" s="7" t="s">
        <v>222</v>
      </c>
      <c r="M5" s="7" t="s">
        <v>222</v>
      </c>
      <c r="N5" s="7" t="s">
        <v>222</v>
      </c>
      <c r="O5" s="7">
        <v>1</v>
      </c>
      <c r="P5" s="7"/>
      <c r="Q5" s="7"/>
      <c r="R5" s="7"/>
    </row>
    <row r="6" spans="2:18" x14ac:dyDescent="0.3">
      <c r="B6" s="7">
        <v>3</v>
      </c>
      <c r="C6" s="52" t="s">
        <v>141</v>
      </c>
      <c r="D6" s="53">
        <v>9890109096</v>
      </c>
      <c r="E6" s="44" t="s">
        <v>405</v>
      </c>
      <c r="F6" s="54">
        <v>46010</v>
      </c>
      <c r="G6" s="7" t="s">
        <v>222</v>
      </c>
      <c r="H6" s="7" t="s">
        <v>222</v>
      </c>
      <c r="I6" s="7" t="s">
        <v>222</v>
      </c>
      <c r="J6" s="7" t="s">
        <v>222</v>
      </c>
      <c r="K6" s="7" t="s">
        <v>222</v>
      </c>
      <c r="L6" s="7" t="s">
        <v>222</v>
      </c>
      <c r="M6" s="7" t="s">
        <v>222</v>
      </c>
      <c r="N6" s="7" t="s">
        <v>222</v>
      </c>
      <c r="O6" s="7">
        <v>5</v>
      </c>
      <c r="P6" s="7"/>
      <c r="Q6" s="7"/>
      <c r="R6" s="7"/>
    </row>
    <row r="7" spans="2:18" x14ac:dyDescent="0.3">
      <c r="B7" s="7">
        <v>4</v>
      </c>
      <c r="C7" s="52" t="s">
        <v>146</v>
      </c>
      <c r="D7" s="53">
        <v>9881136863</v>
      </c>
      <c r="E7" s="44" t="s">
        <v>405</v>
      </c>
      <c r="F7" s="54">
        <v>46013</v>
      </c>
      <c r="G7" s="7" t="s">
        <v>222</v>
      </c>
      <c r="H7" s="7" t="s">
        <v>222</v>
      </c>
      <c r="I7" s="7" t="s">
        <v>222</v>
      </c>
      <c r="J7" s="7" t="s">
        <v>222</v>
      </c>
      <c r="K7" s="7" t="s">
        <v>222</v>
      </c>
      <c r="L7" s="7" t="s">
        <v>222</v>
      </c>
      <c r="M7" s="7" t="s">
        <v>222</v>
      </c>
      <c r="N7" s="7" t="s">
        <v>222</v>
      </c>
      <c r="O7" s="7">
        <v>3</v>
      </c>
      <c r="P7" s="7"/>
      <c r="Q7" s="7"/>
      <c r="R7" s="7"/>
    </row>
    <row r="8" spans="2:18" x14ac:dyDescent="0.3">
      <c r="B8" s="7">
        <v>5</v>
      </c>
      <c r="C8" s="52" t="s">
        <v>147</v>
      </c>
      <c r="D8" s="53">
        <v>9167071968</v>
      </c>
      <c r="E8" s="93" t="s">
        <v>409</v>
      </c>
      <c r="F8" s="54">
        <v>46014</v>
      </c>
      <c r="G8" s="7" t="s">
        <v>222</v>
      </c>
      <c r="H8" s="7" t="s">
        <v>222</v>
      </c>
      <c r="I8" s="7" t="s">
        <v>222</v>
      </c>
      <c r="J8" s="7" t="s">
        <v>222</v>
      </c>
      <c r="K8" s="7" t="s">
        <v>222</v>
      </c>
      <c r="L8" s="7" t="s">
        <v>222</v>
      </c>
      <c r="M8" s="7" t="s">
        <v>222</v>
      </c>
      <c r="N8" s="7" t="s">
        <v>222</v>
      </c>
      <c r="O8" s="7">
        <v>3</v>
      </c>
      <c r="P8" s="7">
        <v>1</v>
      </c>
      <c r="Q8" s="7"/>
      <c r="R8" s="7"/>
    </row>
    <row r="9" spans="2:18" x14ac:dyDescent="0.3">
      <c r="B9" s="7">
        <v>6</v>
      </c>
      <c r="C9" s="52" t="s">
        <v>148</v>
      </c>
      <c r="D9" s="53">
        <v>9702005707</v>
      </c>
      <c r="E9" s="93" t="s">
        <v>409</v>
      </c>
      <c r="F9" s="54">
        <v>46014</v>
      </c>
      <c r="G9" s="7" t="s">
        <v>222</v>
      </c>
      <c r="H9" s="7" t="s">
        <v>222</v>
      </c>
      <c r="I9" s="7" t="s">
        <v>222</v>
      </c>
      <c r="J9" s="7" t="s">
        <v>222</v>
      </c>
      <c r="K9" s="7" t="s">
        <v>222</v>
      </c>
      <c r="L9" s="7" t="s">
        <v>222</v>
      </c>
      <c r="M9" s="7" t="s">
        <v>222</v>
      </c>
      <c r="N9" s="7" t="s">
        <v>222</v>
      </c>
      <c r="O9" s="7">
        <v>4</v>
      </c>
      <c r="P9" s="7"/>
      <c r="Q9" s="7"/>
      <c r="R9" s="7"/>
    </row>
    <row r="10" spans="2:18" x14ac:dyDescent="0.3">
      <c r="B10" s="7">
        <v>7</v>
      </c>
      <c r="C10" s="52" t="s">
        <v>149</v>
      </c>
      <c r="D10" s="53">
        <v>9845296389</v>
      </c>
      <c r="E10" s="52" t="s">
        <v>413</v>
      </c>
      <c r="F10" s="54">
        <v>46014</v>
      </c>
      <c r="G10" s="7" t="s">
        <v>222</v>
      </c>
      <c r="H10" s="7" t="s">
        <v>222</v>
      </c>
      <c r="I10" s="7" t="s">
        <v>222</v>
      </c>
      <c r="J10" s="7"/>
      <c r="K10" s="7" t="s">
        <v>222</v>
      </c>
      <c r="L10" s="7" t="s">
        <v>222</v>
      </c>
      <c r="M10" s="7" t="s">
        <v>222</v>
      </c>
      <c r="N10" s="7" t="s">
        <v>222</v>
      </c>
      <c r="O10" s="7">
        <v>1</v>
      </c>
      <c r="P10" s="7"/>
      <c r="Q10" s="7"/>
      <c r="R10" s="7"/>
    </row>
    <row r="11" spans="2:18" x14ac:dyDescent="0.3">
      <c r="B11" s="7">
        <v>8</v>
      </c>
      <c r="C11" s="52" t="s">
        <v>150</v>
      </c>
      <c r="D11" s="53">
        <v>9850906696</v>
      </c>
      <c r="E11" s="44" t="s">
        <v>405</v>
      </c>
      <c r="F11" s="54">
        <v>46014</v>
      </c>
      <c r="G11" s="7" t="s">
        <v>222</v>
      </c>
      <c r="H11" s="7" t="s">
        <v>222</v>
      </c>
      <c r="I11" s="7" t="s">
        <v>222</v>
      </c>
      <c r="J11" s="7" t="s">
        <v>222</v>
      </c>
      <c r="K11" s="91" t="s">
        <v>391</v>
      </c>
      <c r="L11" s="7" t="s">
        <v>222</v>
      </c>
      <c r="M11" s="7" t="s">
        <v>222</v>
      </c>
      <c r="N11" s="91" t="s">
        <v>391</v>
      </c>
      <c r="O11" s="7">
        <v>6</v>
      </c>
      <c r="P11" s="7"/>
      <c r="Q11" s="7"/>
      <c r="R11" s="7"/>
    </row>
    <row r="12" spans="2:18" x14ac:dyDescent="0.3">
      <c r="B12" s="7">
        <v>9</v>
      </c>
      <c r="C12" s="52" t="s">
        <v>151</v>
      </c>
      <c r="D12" s="53">
        <v>9898058825</v>
      </c>
      <c r="E12" s="44" t="s">
        <v>405</v>
      </c>
      <c r="F12" s="54">
        <v>46014</v>
      </c>
      <c r="G12" s="7" t="s">
        <v>222</v>
      </c>
      <c r="H12" s="7" t="s">
        <v>222</v>
      </c>
      <c r="I12" s="7" t="s">
        <v>222</v>
      </c>
      <c r="J12" s="7"/>
      <c r="K12" s="91" t="s">
        <v>391</v>
      </c>
      <c r="L12" s="7" t="s">
        <v>222</v>
      </c>
      <c r="M12" s="7" t="s">
        <v>222</v>
      </c>
      <c r="N12" s="91" t="s">
        <v>391</v>
      </c>
      <c r="O12" s="7"/>
      <c r="P12" s="7"/>
      <c r="Q12" s="7"/>
      <c r="R12" s="7"/>
    </row>
    <row r="13" spans="2:18" x14ac:dyDescent="0.3">
      <c r="B13" s="7">
        <v>10</v>
      </c>
      <c r="C13" s="52" t="s">
        <v>152</v>
      </c>
      <c r="D13" s="53">
        <v>9968037111</v>
      </c>
      <c r="E13" s="52" t="s">
        <v>414</v>
      </c>
      <c r="F13" s="54">
        <v>46014</v>
      </c>
      <c r="G13" s="7" t="s">
        <v>222</v>
      </c>
      <c r="H13" s="7" t="s">
        <v>222</v>
      </c>
      <c r="I13" s="7" t="s">
        <v>222</v>
      </c>
      <c r="J13" s="7"/>
      <c r="K13" s="91" t="s">
        <v>391</v>
      </c>
      <c r="L13" s="7" t="s">
        <v>222</v>
      </c>
      <c r="M13" s="7" t="s">
        <v>222</v>
      </c>
      <c r="N13" s="91" t="s">
        <v>391</v>
      </c>
      <c r="O13" s="7"/>
      <c r="P13" s="7"/>
      <c r="Q13" s="7"/>
      <c r="R13" s="7"/>
    </row>
    <row r="14" spans="2:18" x14ac:dyDescent="0.3">
      <c r="B14" s="7">
        <v>11</v>
      </c>
      <c r="C14" s="52" t="s">
        <v>153</v>
      </c>
      <c r="D14" s="53">
        <v>9821321162</v>
      </c>
      <c r="E14" s="93" t="s">
        <v>409</v>
      </c>
      <c r="F14" s="54">
        <v>46014</v>
      </c>
      <c r="G14" s="7" t="s">
        <v>222</v>
      </c>
      <c r="H14" s="7" t="s">
        <v>222</v>
      </c>
      <c r="I14" s="7" t="s">
        <v>222</v>
      </c>
      <c r="J14" s="7" t="s">
        <v>222</v>
      </c>
      <c r="K14" s="7" t="s">
        <v>222</v>
      </c>
      <c r="L14" s="7" t="s">
        <v>222</v>
      </c>
      <c r="M14" s="7" t="s">
        <v>222</v>
      </c>
      <c r="N14" s="347" t="s">
        <v>222</v>
      </c>
      <c r="O14" s="7">
        <v>3</v>
      </c>
      <c r="P14" s="7"/>
      <c r="Q14" s="7"/>
      <c r="R14" s="7"/>
    </row>
    <row r="15" spans="2:18" x14ac:dyDescent="0.3">
      <c r="B15" s="7">
        <v>12</v>
      </c>
      <c r="C15" s="52" t="s">
        <v>160</v>
      </c>
      <c r="D15" s="53">
        <v>9819720728</v>
      </c>
      <c r="E15" s="93" t="s">
        <v>409</v>
      </c>
      <c r="F15" s="54">
        <v>46014</v>
      </c>
      <c r="G15" s="7" t="s">
        <v>222</v>
      </c>
      <c r="H15" s="7" t="s">
        <v>222</v>
      </c>
      <c r="I15" s="7" t="s">
        <v>222</v>
      </c>
      <c r="J15" s="7" t="s">
        <v>222</v>
      </c>
      <c r="K15" s="7" t="s">
        <v>222</v>
      </c>
      <c r="L15" s="7" t="s">
        <v>222</v>
      </c>
      <c r="M15" s="7" t="s">
        <v>222</v>
      </c>
      <c r="N15" s="347" t="s">
        <v>222</v>
      </c>
      <c r="O15" s="7">
        <v>9</v>
      </c>
      <c r="P15" s="7"/>
      <c r="Q15" s="7">
        <v>1</v>
      </c>
      <c r="R15" s="7"/>
    </row>
    <row r="16" spans="2:18" x14ac:dyDescent="0.3">
      <c r="B16" s="7">
        <v>13</v>
      </c>
      <c r="C16" s="52" t="s">
        <v>155</v>
      </c>
      <c r="D16" s="53">
        <v>9960692553</v>
      </c>
      <c r="E16" s="44" t="s">
        <v>405</v>
      </c>
      <c r="F16" s="54">
        <v>46014</v>
      </c>
      <c r="G16" s="7" t="s">
        <v>222</v>
      </c>
      <c r="H16" s="7" t="s">
        <v>222</v>
      </c>
      <c r="I16" s="7" t="s">
        <v>222</v>
      </c>
      <c r="J16" s="7"/>
      <c r="K16" s="7" t="s">
        <v>222</v>
      </c>
      <c r="L16" s="91" t="s">
        <v>391</v>
      </c>
      <c r="M16" s="7" t="s">
        <v>222</v>
      </c>
      <c r="N16" s="91" t="s">
        <v>391</v>
      </c>
      <c r="O16" s="7"/>
      <c r="P16" s="7"/>
      <c r="Q16" s="7"/>
      <c r="R16" s="7"/>
    </row>
    <row r="17" spans="2:18" x14ac:dyDescent="0.3">
      <c r="B17" s="7">
        <v>14</v>
      </c>
      <c r="C17" s="52" t="s">
        <v>172</v>
      </c>
      <c r="D17" s="53">
        <v>9999325599</v>
      </c>
      <c r="E17" s="94" t="s">
        <v>408</v>
      </c>
      <c r="F17" s="54">
        <v>46014</v>
      </c>
      <c r="G17" s="7" t="s">
        <v>222</v>
      </c>
      <c r="H17" s="7" t="s">
        <v>222</v>
      </c>
      <c r="I17" s="7" t="s">
        <v>222</v>
      </c>
      <c r="J17" s="7" t="s">
        <v>222</v>
      </c>
      <c r="K17" s="7" t="s">
        <v>222</v>
      </c>
      <c r="L17" s="7" t="s">
        <v>222</v>
      </c>
      <c r="M17" s="7" t="s">
        <v>222</v>
      </c>
      <c r="N17" s="347" t="s">
        <v>222</v>
      </c>
      <c r="O17" s="7">
        <v>1</v>
      </c>
      <c r="P17" s="7"/>
      <c r="Q17" s="7"/>
      <c r="R17" s="7"/>
    </row>
    <row r="18" spans="2:18" x14ac:dyDescent="0.3">
      <c r="B18" s="7">
        <v>15</v>
      </c>
      <c r="C18" s="52" t="s">
        <v>157</v>
      </c>
      <c r="D18" s="53">
        <v>7744974014</v>
      </c>
      <c r="E18" s="44" t="s">
        <v>405</v>
      </c>
      <c r="F18" s="54">
        <v>46014</v>
      </c>
      <c r="G18" s="7" t="s">
        <v>222</v>
      </c>
      <c r="H18" s="7" t="s">
        <v>222</v>
      </c>
      <c r="I18" s="7" t="s">
        <v>222</v>
      </c>
      <c r="J18" s="7" t="s">
        <v>222</v>
      </c>
      <c r="K18" s="7" t="s">
        <v>222</v>
      </c>
      <c r="L18" s="7" t="s">
        <v>222</v>
      </c>
      <c r="M18" s="7" t="s">
        <v>222</v>
      </c>
      <c r="N18" s="91" t="s">
        <v>391</v>
      </c>
      <c r="O18" s="7">
        <v>3</v>
      </c>
      <c r="P18" s="7"/>
      <c r="Q18" s="7"/>
      <c r="R18" s="7"/>
    </row>
    <row r="19" spans="2:18" x14ac:dyDescent="0.3">
      <c r="B19" s="7">
        <v>16</v>
      </c>
      <c r="C19" s="52" t="s">
        <v>164</v>
      </c>
      <c r="D19" s="53">
        <v>9673330308</v>
      </c>
      <c r="E19" s="44" t="s">
        <v>405</v>
      </c>
      <c r="F19" s="54">
        <v>46015</v>
      </c>
      <c r="G19" s="7" t="s">
        <v>222</v>
      </c>
      <c r="H19" s="7" t="s">
        <v>222</v>
      </c>
      <c r="I19" s="7" t="s">
        <v>222</v>
      </c>
      <c r="J19" s="7" t="s">
        <v>222</v>
      </c>
      <c r="K19" s="7" t="s">
        <v>222</v>
      </c>
      <c r="L19" s="7" t="s">
        <v>222</v>
      </c>
      <c r="M19" s="7" t="s">
        <v>222</v>
      </c>
      <c r="N19" s="347" t="s">
        <v>222</v>
      </c>
      <c r="O19" s="7">
        <v>12</v>
      </c>
      <c r="P19" s="7"/>
      <c r="Q19" s="7"/>
      <c r="R19" s="7"/>
    </row>
    <row r="20" spans="2:18" x14ac:dyDescent="0.3">
      <c r="B20" s="7">
        <v>17</v>
      </c>
      <c r="C20" s="52" t="s">
        <v>170</v>
      </c>
      <c r="D20" s="53">
        <v>9422871050</v>
      </c>
      <c r="E20" s="44" t="s">
        <v>405</v>
      </c>
      <c r="F20" s="54">
        <v>46012</v>
      </c>
      <c r="G20" s="7" t="s">
        <v>222</v>
      </c>
      <c r="H20" s="7" t="s">
        <v>222</v>
      </c>
      <c r="I20" s="7" t="s">
        <v>222</v>
      </c>
      <c r="J20" s="7"/>
      <c r="K20" s="7" t="s">
        <v>222</v>
      </c>
      <c r="L20" s="7" t="s">
        <v>222</v>
      </c>
      <c r="M20" s="91" t="s">
        <v>391</v>
      </c>
      <c r="N20" s="91" t="s">
        <v>391</v>
      </c>
      <c r="O20" s="7">
        <v>1</v>
      </c>
      <c r="P20" s="7"/>
      <c r="Q20" s="7"/>
      <c r="R20" s="7"/>
    </row>
    <row r="21" spans="2:18" x14ac:dyDescent="0.3">
      <c r="B21" s="7">
        <v>18</v>
      </c>
      <c r="C21" s="52" t="s">
        <v>167</v>
      </c>
      <c r="D21" s="53">
        <v>9725950593</v>
      </c>
      <c r="E21" s="52" t="s">
        <v>412</v>
      </c>
      <c r="F21" s="54">
        <v>46015</v>
      </c>
      <c r="G21" s="7" t="s">
        <v>222</v>
      </c>
      <c r="H21" s="7" t="s">
        <v>222</v>
      </c>
      <c r="I21" s="7" t="s">
        <v>222</v>
      </c>
      <c r="J21" s="7" t="s">
        <v>222</v>
      </c>
      <c r="K21" s="7" t="s">
        <v>222</v>
      </c>
      <c r="L21" s="7" t="s">
        <v>222</v>
      </c>
      <c r="M21" s="7" t="s">
        <v>222</v>
      </c>
      <c r="N21" s="347" t="s">
        <v>222</v>
      </c>
      <c r="O21" s="7"/>
      <c r="P21" s="7"/>
      <c r="Q21" s="7"/>
      <c r="R21" s="7"/>
    </row>
    <row r="22" spans="2:18" x14ac:dyDescent="0.3">
      <c r="B22" s="7">
        <v>19</v>
      </c>
      <c r="C22" s="52" t="s">
        <v>165</v>
      </c>
      <c r="D22" s="53">
        <v>9506030459</v>
      </c>
      <c r="E22" s="44" t="s">
        <v>405</v>
      </c>
      <c r="F22" s="54">
        <v>46015</v>
      </c>
      <c r="G22" s="7" t="s">
        <v>222</v>
      </c>
      <c r="H22" s="7" t="s">
        <v>222</v>
      </c>
      <c r="I22" s="7" t="s">
        <v>222</v>
      </c>
      <c r="J22" s="7"/>
      <c r="K22" s="7" t="s">
        <v>222</v>
      </c>
      <c r="L22" s="7" t="s">
        <v>222</v>
      </c>
      <c r="M22" s="7" t="s">
        <v>222</v>
      </c>
      <c r="N22" s="91" t="s">
        <v>391</v>
      </c>
      <c r="O22" s="7">
        <v>5</v>
      </c>
      <c r="P22" s="7"/>
      <c r="Q22" s="7"/>
      <c r="R22" s="7"/>
    </row>
    <row r="23" spans="2:18" x14ac:dyDescent="0.3">
      <c r="B23" s="7">
        <v>20</v>
      </c>
      <c r="C23" s="52" t="s">
        <v>168</v>
      </c>
      <c r="D23" s="53">
        <v>9158701136</v>
      </c>
      <c r="E23" s="44" t="s">
        <v>405</v>
      </c>
      <c r="F23" s="54">
        <v>46015</v>
      </c>
      <c r="G23" s="7" t="s">
        <v>222</v>
      </c>
      <c r="H23" s="7" t="s">
        <v>222</v>
      </c>
      <c r="I23" s="7" t="s">
        <v>222</v>
      </c>
      <c r="J23" s="7" t="s">
        <v>222</v>
      </c>
      <c r="K23" s="7" t="s">
        <v>222</v>
      </c>
      <c r="L23" s="91" t="s">
        <v>391</v>
      </c>
      <c r="M23" s="7" t="s">
        <v>222</v>
      </c>
      <c r="N23" s="347" t="s">
        <v>222</v>
      </c>
      <c r="O23" s="7"/>
      <c r="P23" s="7"/>
      <c r="Q23" s="7"/>
      <c r="R23" s="7"/>
    </row>
    <row r="24" spans="2:18" x14ac:dyDescent="0.3">
      <c r="B24" s="7">
        <v>21</v>
      </c>
      <c r="C24" s="52" t="s">
        <v>191</v>
      </c>
      <c r="D24" s="53">
        <v>9922909009</v>
      </c>
      <c r="E24" s="44" t="s">
        <v>405</v>
      </c>
      <c r="F24" s="54">
        <v>46015</v>
      </c>
      <c r="G24" s="7" t="s">
        <v>222</v>
      </c>
      <c r="H24" s="7" t="s">
        <v>222</v>
      </c>
      <c r="I24" s="7" t="s">
        <v>222</v>
      </c>
      <c r="J24" s="7"/>
      <c r="K24" s="7" t="s">
        <v>313</v>
      </c>
      <c r="L24" s="7" t="s">
        <v>222</v>
      </c>
      <c r="M24" s="7" t="s">
        <v>222</v>
      </c>
      <c r="N24" s="347" t="s">
        <v>222</v>
      </c>
      <c r="O24" s="7">
        <v>3</v>
      </c>
      <c r="P24" s="7"/>
      <c r="Q24" s="7"/>
      <c r="R24" s="7"/>
    </row>
    <row r="25" spans="2:18" x14ac:dyDescent="0.3">
      <c r="B25" s="7">
        <v>22</v>
      </c>
      <c r="C25" s="52" t="s">
        <v>195</v>
      </c>
      <c r="D25" s="53">
        <v>8861309072</v>
      </c>
      <c r="E25" s="44" t="s">
        <v>405</v>
      </c>
      <c r="F25" s="54">
        <v>46016</v>
      </c>
      <c r="G25" s="7" t="s">
        <v>222</v>
      </c>
      <c r="H25" s="7" t="s">
        <v>222</v>
      </c>
      <c r="I25" s="7" t="s">
        <v>222</v>
      </c>
      <c r="J25" s="7" t="s">
        <v>222</v>
      </c>
      <c r="K25" s="91" t="s">
        <v>391</v>
      </c>
      <c r="L25" s="7" t="s">
        <v>222</v>
      </c>
      <c r="M25" s="7" t="s">
        <v>222</v>
      </c>
      <c r="N25" s="347" t="s">
        <v>222</v>
      </c>
      <c r="O25" s="7">
        <v>5</v>
      </c>
      <c r="P25" s="7"/>
      <c r="Q25" s="7"/>
      <c r="R25" s="7"/>
    </row>
    <row r="26" spans="2:18" x14ac:dyDescent="0.3">
      <c r="B26" s="7">
        <v>23</v>
      </c>
      <c r="C26" s="52" t="s">
        <v>198</v>
      </c>
      <c r="D26" s="53">
        <v>9820083418</v>
      </c>
      <c r="E26" s="44" t="s">
        <v>405</v>
      </c>
      <c r="F26" s="54">
        <v>46017</v>
      </c>
      <c r="G26" s="7" t="s">
        <v>222</v>
      </c>
      <c r="H26" s="7" t="s">
        <v>222</v>
      </c>
      <c r="I26" s="7" t="s">
        <v>222</v>
      </c>
      <c r="J26" s="7" t="s">
        <v>222</v>
      </c>
      <c r="K26" s="7" t="s">
        <v>222</v>
      </c>
      <c r="L26" s="91" t="s">
        <v>391</v>
      </c>
      <c r="M26" s="7" t="s">
        <v>222</v>
      </c>
      <c r="N26" s="91" t="s">
        <v>391</v>
      </c>
      <c r="O26" s="7">
        <v>6</v>
      </c>
      <c r="P26" s="7">
        <v>1</v>
      </c>
      <c r="Q26" s="7"/>
      <c r="R26" s="7"/>
    </row>
    <row r="27" spans="2:18" x14ac:dyDescent="0.3">
      <c r="B27" s="7">
        <v>24</v>
      </c>
      <c r="C27" s="52" t="s">
        <v>159</v>
      </c>
      <c r="D27" s="53">
        <v>7977097397</v>
      </c>
      <c r="E27" s="44" t="s">
        <v>405</v>
      </c>
      <c r="F27" s="54">
        <v>46074</v>
      </c>
      <c r="G27" s="7" t="s">
        <v>222</v>
      </c>
      <c r="H27" s="7" t="s">
        <v>222</v>
      </c>
      <c r="I27" s="7" t="s">
        <v>222</v>
      </c>
      <c r="J27" s="7"/>
      <c r="K27" s="7" t="s">
        <v>222</v>
      </c>
      <c r="L27" s="7" t="s">
        <v>222</v>
      </c>
      <c r="M27" s="7" t="s">
        <v>222</v>
      </c>
      <c r="N27" s="347" t="s">
        <v>222</v>
      </c>
      <c r="O27" s="7">
        <v>22</v>
      </c>
      <c r="P27" s="7">
        <v>20</v>
      </c>
      <c r="Q27" s="7">
        <v>5</v>
      </c>
      <c r="R27" s="7" t="s">
        <v>222</v>
      </c>
    </row>
    <row r="28" spans="2:18" ht="16.2" customHeight="1" x14ac:dyDescent="0.3">
      <c r="B28" s="7">
        <v>25</v>
      </c>
      <c r="C28" s="52" t="s">
        <v>476</v>
      </c>
      <c r="D28" s="53">
        <v>9819477153</v>
      </c>
      <c r="E28" s="93" t="s">
        <v>409</v>
      </c>
      <c r="F28" s="54">
        <v>46075</v>
      </c>
      <c r="G28" s="7" t="s">
        <v>222</v>
      </c>
      <c r="H28" s="7" t="s">
        <v>222</v>
      </c>
      <c r="I28" s="7" t="s">
        <v>222</v>
      </c>
      <c r="J28" s="7" t="s">
        <v>222</v>
      </c>
      <c r="K28" s="7" t="s">
        <v>222</v>
      </c>
      <c r="L28" s="7" t="s">
        <v>222</v>
      </c>
      <c r="M28" s="7" t="s">
        <v>222</v>
      </c>
      <c r="N28" s="347" t="s">
        <v>222</v>
      </c>
      <c r="O28" s="7">
        <v>14</v>
      </c>
      <c r="P28" s="7"/>
      <c r="Q28" s="7"/>
      <c r="R28" s="7"/>
    </row>
    <row r="29" spans="2:18" x14ac:dyDescent="0.3">
      <c r="B29" s="7">
        <v>26</v>
      </c>
      <c r="C29" s="52" t="s">
        <v>570</v>
      </c>
      <c r="D29" s="53">
        <v>9372866399</v>
      </c>
      <c r="E29" s="44" t="s">
        <v>405</v>
      </c>
      <c r="F29" s="54">
        <v>46077</v>
      </c>
      <c r="G29" s="7" t="s">
        <v>222</v>
      </c>
      <c r="H29" s="7" t="s">
        <v>222</v>
      </c>
      <c r="I29" s="7" t="s">
        <v>222</v>
      </c>
      <c r="J29" s="7" t="s">
        <v>222</v>
      </c>
      <c r="K29" s="91" t="s">
        <v>391</v>
      </c>
      <c r="L29" s="91" t="s">
        <v>391</v>
      </c>
      <c r="M29" s="7" t="s">
        <v>222</v>
      </c>
      <c r="N29" s="91" t="s">
        <v>391</v>
      </c>
      <c r="O29" s="7">
        <v>1</v>
      </c>
      <c r="P29" s="7"/>
      <c r="Q29" s="7"/>
      <c r="R29" s="7"/>
    </row>
    <row r="30" spans="2:18" ht="16.8" customHeight="1" x14ac:dyDescent="0.3">
      <c r="B30" s="7">
        <v>27</v>
      </c>
      <c r="C30" s="52" t="s">
        <v>197</v>
      </c>
      <c r="D30" s="53">
        <v>9833857188</v>
      </c>
      <c r="E30" s="44" t="s">
        <v>405</v>
      </c>
      <c r="F30" s="54">
        <v>45682</v>
      </c>
      <c r="G30" s="7" t="s">
        <v>222</v>
      </c>
      <c r="H30" s="7" t="s">
        <v>222</v>
      </c>
      <c r="I30" s="91" t="s">
        <v>391</v>
      </c>
      <c r="J30" s="91"/>
      <c r="K30" s="91" t="s">
        <v>391</v>
      </c>
      <c r="L30" s="91" t="s">
        <v>391</v>
      </c>
      <c r="M30" s="91" t="s">
        <v>391</v>
      </c>
      <c r="N30" s="7" t="s">
        <v>222</v>
      </c>
      <c r="O30" s="7">
        <v>4</v>
      </c>
      <c r="P30" s="7">
        <v>1</v>
      </c>
      <c r="Q30" s="7"/>
      <c r="R30" s="7"/>
    </row>
    <row r="31" spans="2:18" x14ac:dyDescent="0.3">
      <c r="B31" s="7">
        <v>28</v>
      </c>
      <c r="C31" s="52" t="s">
        <v>169</v>
      </c>
      <c r="D31" s="53">
        <v>7219066362</v>
      </c>
      <c r="E31" s="44" t="s">
        <v>405</v>
      </c>
      <c r="F31" s="54">
        <v>46018</v>
      </c>
      <c r="G31" s="7" t="s">
        <v>222</v>
      </c>
      <c r="H31" s="7" t="s">
        <v>222</v>
      </c>
      <c r="I31" s="7" t="s">
        <v>222</v>
      </c>
      <c r="J31" s="7"/>
      <c r="K31" s="7" t="s">
        <v>222</v>
      </c>
      <c r="L31" s="91" t="s">
        <v>391</v>
      </c>
      <c r="M31" s="91" t="s">
        <v>391</v>
      </c>
      <c r="N31" s="91" t="s">
        <v>391</v>
      </c>
      <c r="O31" s="7"/>
      <c r="P31" s="7"/>
      <c r="Q31" s="7"/>
      <c r="R31" s="7" t="s">
        <v>222</v>
      </c>
    </row>
    <row r="32" spans="2:18" x14ac:dyDescent="0.3">
      <c r="B32" s="7">
        <v>29</v>
      </c>
      <c r="C32" s="52" t="s">
        <v>225</v>
      </c>
      <c r="D32" s="53">
        <v>9665533344</v>
      </c>
      <c r="E32" s="44" t="s">
        <v>405</v>
      </c>
      <c r="F32" s="54">
        <v>46020</v>
      </c>
      <c r="G32" s="7" t="s">
        <v>222</v>
      </c>
      <c r="H32" s="7" t="s">
        <v>222</v>
      </c>
      <c r="I32" s="7" t="s">
        <v>222</v>
      </c>
      <c r="J32" s="7" t="s">
        <v>222</v>
      </c>
      <c r="K32" s="7" t="s">
        <v>222</v>
      </c>
      <c r="L32" s="91" t="s">
        <v>391</v>
      </c>
      <c r="M32" s="91" t="s">
        <v>391</v>
      </c>
      <c r="N32" s="91" t="s">
        <v>391</v>
      </c>
      <c r="O32" s="7">
        <v>2</v>
      </c>
      <c r="P32" s="7"/>
      <c r="Q32" s="7"/>
      <c r="R32" s="7"/>
    </row>
    <row r="33" spans="2:18" x14ac:dyDescent="0.3">
      <c r="B33" s="7">
        <v>30</v>
      </c>
      <c r="C33" s="52" t="s">
        <v>267</v>
      </c>
      <c r="D33" s="53">
        <v>9582588116</v>
      </c>
      <c r="E33" s="52" t="s">
        <v>411</v>
      </c>
      <c r="F33" s="54">
        <v>46021</v>
      </c>
      <c r="G33" s="7" t="s">
        <v>222</v>
      </c>
      <c r="H33" s="7" t="s">
        <v>222</v>
      </c>
      <c r="I33" s="7" t="s">
        <v>222</v>
      </c>
      <c r="J33" s="7"/>
      <c r="K33" s="7" t="s">
        <v>313</v>
      </c>
      <c r="L33" s="7" t="s">
        <v>222</v>
      </c>
      <c r="M33" s="7" t="s">
        <v>222</v>
      </c>
      <c r="N33" s="91" t="s">
        <v>391</v>
      </c>
      <c r="O33" s="7"/>
      <c r="P33" s="7"/>
      <c r="Q33" s="7"/>
      <c r="R33" s="7"/>
    </row>
    <row r="34" spans="2:18" x14ac:dyDescent="0.3">
      <c r="B34" s="7">
        <v>31</v>
      </c>
      <c r="C34" s="52" t="s">
        <v>315</v>
      </c>
      <c r="D34" s="53">
        <v>9324390808</v>
      </c>
      <c r="E34" s="93" t="s">
        <v>409</v>
      </c>
      <c r="F34" s="54">
        <v>46044</v>
      </c>
      <c r="G34" s="7" t="s">
        <v>222</v>
      </c>
      <c r="H34" s="7" t="s">
        <v>222</v>
      </c>
      <c r="I34" s="7" t="s">
        <v>222</v>
      </c>
      <c r="J34" s="7"/>
      <c r="K34" s="7" t="s">
        <v>313</v>
      </c>
      <c r="L34" s="7" t="s">
        <v>222</v>
      </c>
      <c r="M34" s="7" t="s">
        <v>222</v>
      </c>
      <c r="N34" s="91" t="s">
        <v>391</v>
      </c>
      <c r="O34" s="7">
        <v>3</v>
      </c>
      <c r="P34" s="7"/>
      <c r="Q34" s="7"/>
      <c r="R34" s="7"/>
    </row>
    <row r="35" spans="2:18" x14ac:dyDescent="0.3">
      <c r="B35" s="7">
        <v>32</v>
      </c>
      <c r="C35" s="52" t="s">
        <v>316</v>
      </c>
      <c r="D35" s="53">
        <v>9599650155</v>
      </c>
      <c r="E35" s="94" t="s">
        <v>408</v>
      </c>
      <c r="F35" s="54">
        <v>46044</v>
      </c>
      <c r="G35" s="7" t="s">
        <v>222</v>
      </c>
      <c r="H35" s="7" t="s">
        <v>222</v>
      </c>
      <c r="I35" s="7" t="s">
        <v>222</v>
      </c>
      <c r="J35" s="7"/>
      <c r="K35" s="7" t="s">
        <v>313</v>
      </c>
      <c r="L35" s="7" t="s">
        <v>313</v>
      </c>
      <c r="M35" s="7" t="s">
        <v>222</v>
      </c>
      <c r="N35" s="7" t="s">
        <v>222</v>
      </c>
      <c r="O35" s="7"/>
      <c r="P35" s="7"/>
      <c r="Q35" s="7"/>
      <c r="R35" s="7"/>
    </row>
    <row r="36" spans="2:18" x14ac:dyDescent="0.3">
      <c r="B36" s="7">
        <v>33</v>
      </c>
      <c r="C36" s="52" t="s">
        <v>348</v>
      </c>
      <c r="D36" s="53">
        <v>9923106321</v>
      </c>
      <c r="E36" s="101" t="s">
        <v>407</v>
      </c>
      <c r="F36" s="54">
        <v>46059</v>
      </c>
      <c r="G36" s="7" t="s">
        <v>222</v>
      </c>
      <c r="H36" s="7" t="s">
        <v>222</v>
      </c>
      <c r="I36" s="7" t="s">
        <v>222</v>
      </c>
      <c r="J36" s="7"/>
      <c r="K36" s="7" t="s">
        <v>222</v>
      </c>
      <c r="L36" s="7" t="s">
        <v>222</v>
      </c>
      <c r="M36" s="7" t="s">
        <v>222</v>
      </c>
      <c r="N36" s="91" t="s">
        <v>391</v>
      </c>
      <c r="O36" s="7"/>
      <c r="P36" s="7"/>
      <c r="Q36" s="7"/>
      <c r="R36" s="7"/>
    </row>
    <row r="37" spans="2:18" x14ac:dyDescent="0.3">
      <c r="B37" s="7">
        <v>34</v>
      </c>
      <c r="C37" s="52" t="s">
        <v>349</v>
      </c>
      <c r="D37" s="53">
        <v>9823869350</v>
      </c>
      <c r="E37" s="101" t="s">
        <v>407</v>
      </c>
      <c r="F37" s="54">
        <v>46064</v>
      </c>
      <c r="G37" s="7" t="s">
        <v>222</v>
      </c>
      <c r="H37" s="7" t="s">
        <v>222</v>
      </c>
      <c r="I37" s="7" t="s">
        <v>222</v>
      </c>
      <c r="J37" s="7" t="s">
        <v>222</v>
      </c>
      <c r="K37" s="7" t="s">
        <v>313</v>
      </c>
      <c r="L37" s="7" t="s">
        <v>313</v>
      </c>
      <c r="M37" s="7" t="s">
        <v>222</v>
      </c>
      <c r="N37" s="7" t="s">
        <v>222</v>
      </c>
      <c r="O37" s="7"/>
      <c r="P37" s="7"/>
      <c r="Q37" s="7"/>
      <c r="R37" s="7"/>
    </row>
    <row r="38" spans="2:18" x14ac:dyDescent="0.3">
      <c r="B38" s="7">
        <v>35</v>
      </c>
      <c r="C38" s="52" t="s">
        <v>390</v>
      </c>
      <c r="D38" s="53">
        <v>7702044457</v>
      </c>
      <c r="E38" s="52" t="s">
        <v>406</v>
      </c>
      <c r="F38" s="54">
        <v>46069</v>
      </c>
      <c r="G38" s="7" t="s">
        <v>222</v>
      </c>
      <c r="H38" s="7" t="s">
        <v>222</v>
      </c>
      <c r="I38" s="7" t="s">
        <v>222</v>
      </c>
      <c r="J38" s="7"/>
      <c r="K38" s="7" t="s">
        <v>313</v>
      </c>
      <c r="L38" s="7" t="s">
        <v>313</v>
      </c>
      <c r="M38" s="7" t="s">
        <v>222</v>
      </c>
      <c r="N38" s="91" t="s">
        <v>391</v>
      </c>
      <c r="O38" s="7"/>
      <c r="P38" s="7"/>
      <c r="Q38" s="7"/>
      <c r="R38" s="7"/>
    </row>
    <row r="39" spans="2:18" x14ac:dyDescent="0.3">
      <c r="B39" s="7">
        <v>36</v>
      </c>
      <c r="C39" s="52" t="s">
        <v>419</v>
      </c>
      <c r="D39" s="53">
        <v>9821936133</v>
      </c>
      <c r="E39" s="93" t="s">
        <v>409</v>
      </c>
      <c r="F39" s="54">
        <v>46070</v>
      </c>
      <c r="G39" s="7" t="s">
        <v>222</v>
      </c>
      <c r="H39" s="7" t="s">
        <v>222</v>
      </c>
      <c r="I39" s="7" t="s">
        <v>222</v>
      </c>
      <c r="J39" s="7"/>
      <c r="K39" s="7" t="s">
        <v>313</v>
      </c>
      <c r="L39" s="7" t="s">
        <v>313</v>
      </c>
      <c r="M39" s="7" t="s">
        <v>222</v>
      </c>
      <c r="N39" s="7" t="s">
        <v>222</v>
      </c>
      <c r="O39" s="7"/>
      <c r="P39" s="7"/>
      <c r="Q39" s="7"/>
      <c r="R39" s="7"/>
    </row>
    <row r="40" spans="2:18" x14ac:dyDescent="0.3">
      <c r="B40" s="7">
        <v>37</v>
      </c>
      <c r="C40" s="52" t="s">
        <v>583</v>
      </c>
      <c r="D40" s="53">
        <v>8050021439</v>
      </c>
      <c r="E40" s="52" t="s">
        <v>413</v>
      </c>
      <c r="F40" s="54">
        <v>46099</v>
      </c>
      <c r="G40" s="7" t="s">
        <v>222</v>
      </c>
      <c r="H40" s="7" t="s">
        <v>222</v>
      </c>
      <c r="I40" s="7" t="s">
        <v>222</v>
      </c>
      <c r="J40" s="7" t="s">
        <v>222</v>
      </c>
      <c r="K40" s="7" t="s">
        <v>313</v>
      </c>
      <c r="L40" s="7" t="s">
        <v>313</v>
      </c>
      <c r="M40" s="7" t="s">
        <v>222</v>
      </c>
      <c r="N40" s="7" t="s">
        <v>222</v>
      </c>
      <c r="O40" s="7"/>
      <c r="P40" s="7"/>
      <c r="Q40" s="7"/>
      <c r="R40" s="7"/>
    </row>
    <row r="41" spans="2:18" x14ac:dyDescent="0.3">
      <c r="B41" s="7">
        <v>38</v>
      </c>
      <c r="C41" s="52" t="s">
        <v>461</v>
      </c>
      <c r="D41" s="53">
        <v>8975134040</v>
      </c>
      <c r="E41" s="44" t="s">
        <v>405</v>
      </c>
      <c r="F41" s="54">
        <v>46091</v>
      </c>
      <c r="G41" s="7" t="s">
        <v>222</v>
      </c>
      <c r="H41" s="7" t="s">
        <v>222</v>
      </c>
      <c r="I41" s="7" t="s">
        <v>313</v>
      </c>
      <c r="J41" s="7"/>
      <c r="K41" s="7" t="s">
        <v>313</v>
      </c>
      <c r="L41" s="7" t="s">
        <v>313</v>
      </c>
      <c r="M41" s="7" t="s">
        <v>313</v>
      </c>
      <c r="N41" s="7" t="s">
        <v>313</v>
      </c>
      <c r="O41" s="7"/>
      <c r="P41" s="7"/>
      <c r="Q41" s="7"/>
      <c r="R41" s="7"/>
    </row>
    <row r="42" spans="2:18" x14ac:dyDescent="0.3">
      <c r="B42" s="7">
        <v>39</v>
      </c>
      <c r="C42" s="52" t="s">
        <v>467</v>
      </c>
      <c r="D42" s="53">
        <v>9767029731</v>
      </c>
      <c r="E42" s="44" t="s">
        <v>405</v>
      </c>
      <c r="F42" s="54">
        <v>46102</v>
      </c>
      <c r="G42" s="7" t="s">
        <v>222</v>
      </c>
      <c r="H42" s="7" t="s">
        <v>222</v>
      </c>
      <c r="I42" s="7" t="s">
        <v>222</v>
      </c>
      <c r="J42" s="7" t="s">
        <v>222</v>
      </c>
      <c r="K42" s="7" t="s">
        <v>313</v>
      </c>
      <c r="L42" s="7" t="s">
        <v>313</v>
      </c>
      <c r="M42" s="7" t="s">
        <v>222</v>
      </c>
      <c r="N42" s="7" t="s">
        <v>222</v>
      </c>
      <c r="O42" s="7">
        <v>4</v>
      </c>
      <c r="P42" s="7"/>
      <c r="Q42" s="7"/>
      <c r="R42" s="7"/>
    </row>
    <row r="43" spans="2:18" x14ac:dyDescent="0.3">
      <c r="B43" s="7">
        <v>40</v>
      </c>
      <c r="C43" s="52" t="s">
        <v>468</v>
      </c>
      <c r="D43" s="53">
        <v>9888813400</v>
      </c>
      <c r="E43" s="52" t="s">
        <v>469</v>
      </c>
      <c r="F43" s="54">
        <v>46109</v>
      </c>
      <c r="G43" s="7" t="s">
        <v>222</v>
      </c>
      <c r="H43" s="7" t="s">
        <v>222</v>
      </c>
      <c r="I43" s="7" t="s">
        <v>222</v>
      </c>
      <c r="J43" s="7" t="s">
        <v>222</v>
      </c>
      <c r="K43" s="7" t="s">
        <v>313</v>
      </c>
      <c r="L43" s="7" t="s">
        <v>313</v>
      </c>
      <c r="M43" s="7" t="s">
        <v>222</v>
      </c>
      <c r="N43" s="91" t="s">
        <v>391</v>
      </c>
      <c r="O43" s="7"/>
      <c r="P43" s="7"/>
      <c r="Q43" s="7"/>
      <c r="R43" s="7"/>
    </row>
    <row r="44" spans="2:18" x14ac:dyDescent="0.3">
      <c r="B44" s="7">
        <v>41</v>
      </c>
      <c r="C44" s="52" t="s">
        <v>480</v>
      </c>
      <c r="D44" s="53">
        <v>7382626845</v>
      </c>
      <c r="E44" s="52" t="s">
        <v>406</v>
      </c>
      <c r="F44" s="54">
        <v>46131</v>
      </c>
      <c r="G44" s="7" t="s">
        <v>222</v>
      </c>
      <c r="H44" s="7" t="s">
        <v>222</v>
      </c>
      <c r="I44" s="7" t="s">
        <v>222</v>
      </c>
      <c r="J44" s="7" t="s">
        <v>222</v>
      </c>
      <c r="K44" s="7" t="s">
        <v>313</v>
      </c>
      <c r="L44" s="7" t="s">
        <v>313</v>
      </c>
      <c r="M44" s="7" t="s">
        <v>313</v>
      </c>
      <c r="N44" s="7" t="s">
        <v>222</v>
      </c>
      <c r="O44" s="7"/>
      <c r="P44" s="7"/>
      <c r="Q44" s="7"/>
      <c r="R44" s="7"/>
    </row>
    <row r="45" spans="2:18" x14ac:dyDescent="0.3">
      <c r="B45" s="7">
        <v>42</v>
      </c>
      <c r="C45" s="52" t="s">
        <v>483</v>
      </c>
      <c r="D45" s="53">
        <v>9084293824</v>
      </c>
      <c r="E45" s="52" t="s">
        <v>414</v>
      </c>
      <c r="F45" s="54">
        <v>46131</v>
      </c>
      <c r="G45" s="7" t="s">
        <v>222</v>
      </c>
      <c r="H45" s="7" t="s">
        <v>222</v>
      </c>
      <c r="I45" s="7" t="s">
        <v>313</v>
      </c>
      <c r="J45" s="7"/>
      <c r="K45" s="7" t="s">
        <v>313</v>
      </c>
      <c r="L45" s="7" t="s">
        <v>313</v>
      </c>
      <c r="M45" s="7" t="s">
        <v>313</v>
      </c>
      <c r="N45" s="7" t="s">
        <v>313</v>
      </c>
      <c r="O45" s="7"/>
      <c r="P45" s="7"/>
      <c r="Q45" s="7"/>
      <c r="R45" s="7"/>
    </row>
    <row r="46" spans="2:18" x14ac:dyDescent="0.3">
      <c r="B46" s="7">
        <v>43</v>
      </c>
      <c r="C46" s="52" t="s">
        <v>494</v>
      </c>
      <c r="D46" s="53">
        <v>9819501313</v>
      </c>
      <c r="E46" s="44" t="s">
        <v>405</v>
      </c>
      <c r="F46" s="54">
        <v>46132</v>
      </c>
      <c r="G46" s="7" t="s">
        <v>222</v>
      </c>
      <c r="H46" s="7" t="s">
        <v>222</v>
      </c>
      <c r="I46" s="7" t="s">
        <v>222</v>
      </c>
      <c r="J46" s="7" t="s">
        <v>222</v>
      </c>
      <c r="K46" s="7" t="s">
        <v>313</v>
      </c>
      <c r="L46" s="7" t="s">
        <v>313</v>
      </c>
      <c r="M46" s="7" t="s">
        <v>313</v>
      </c>
      <c r="N46" s="7" t="s">
        <v>222</v>
      </c>
      <c r="O46" s="7">
        <v>8</v>
      </c>
      <c r="P46" s="7"/>
      <c r="Q46" s="7"/>
      <c r="R46" s="7"/>
    </row>
    <row r="47" spans="2:18" x14ac:dyDescent="0.3">
      <c r="B47" s="7">
        <v>44</v>
      </c>
      <c r="C47" s="52" t="s">
        <v>497</v>
      </c>
      <c r="D47" s="53">
        <v>9884799228</v>
      </c>
      <c r="E47" s="52" t="s">
        <v>498</v>
      </c>
      <c r="F47" s="54">
        <v>46138</v>
      </c>
      <c r="G47" s="7" t="s">
        <v>222</v>
      </c>
      <c r="H47" s="7" t="s">
        <v>222</v>
      </c>
      <c r="I47" s="7" t="s">
        <v>222</v>
      </c>
      <c r="J47" s="7" t="s">
        <v>222</v>
      </c>
      <c r="K47" s="7" t="s">
        <v>313</v>
      </c>
      <c r="L47" s="7" t="s">
        <v>313</v>
      </c>
      <c r="M47" s="7" t="s">
        <v>313</v>
      </c>
      <c r="N47" s="7" t="s">
        <v>222</v>
      </c>
      <c r="O47" s="7"/>
      <c r="P47" s="7"/>
      <c r="Q47" s="7"/>
      <c r="R47" s="7"/>
    </row>
    <row r="48" spans="2:18" x14ac:dyDescent="0.3">
      <c r="B48" s="7">
        <v>45</v>
      </c>
      <c r="C48" s="52" t="s">
        <v>511</v>
      </c>
      <c r="D48" s="53">
        <v>9890540890</v>
      </c>
      <c r="E48" s="44" t="s">
        <v>405</v>
      </c>
      <c r="F48" s="54">
        <v>46139</v>
      </c>
      <c r="G48" s="7" t="s">
        <v>222</v>
      </c>
      <c r="H48" s="7" t="s">
        <v>222</v>
      </c>
      <c r="I48" s="7" t="s">
        <v>222</v>
      </c>
      <c r="J48" s="7"/>
      <c r="K48" s="7" t="s">
        <v>313</v>
      </c>
      <c r="L48" s="7" t="s">
        <v>313</v>
      </c>
      <c r="M48" s="7" t="s">
        <v>313</v>
      </c>
      <c r="N48" s="7" t="s">
        <v>222</v>
      </c>
      <c r="O48" s="7"/>
      <c r="P48" s="7"/>
      <c r="Q48" s="7"/>
      <c r="R48" s="7"/>
    </row>
    <row r="49" spans="2:18" x14ac:dyDescent="0.3">
      <c r="B49" s="7">
        <v>46</v>
      </c>
      <c r="C49" s="52" t="s">
        <v>515</v>
      </c>
      <c r="D49" s="53">
        <v>9903693997</v>
      </c>
      <c r="E49" s="52" t="s">
        <v>410</v>
      </c>
      <c r="F49" s="54">
        <v>46143</v>
      </c>
      <c r="G49" s="7" t="s">
        <v>222</v>
      </c>
      <c r="H49" s="7" t="s">
        <v>222</v>
      </c>
      <c r="I49" s="7" t="s">
        <v>222</v>
      </c>
      <c r="J49" s="7" t="s">
        <v>222</v>
      </c>
      <c r="K49" s="7" t="s">
        <v>313</v>
      </c>
      <c r="L49" s="7" t="s">
        <v>313</v>
      </c>
      <c r="M49" s="7" t="s">
        <v>313</v>
      </c>
      <c r="N49" s="91" t="s">
        <v>391</v>
      </c>
      <c r="O49" s="7"/>
      <c r="P49" s="7"/>
      <c r="Q49" s="7"/>
      <c r="R49" s="7"/>
    </row>
    <row r="50" spans="2:18" x14ac:dyDescent="0.3">
      <c r="B50" s="7">
        <v>47</v>
      </c>
      <c r="C50" s="52" t="s">
        <v>541</v>
      </c>
      <c r="D50" s="53">
        <v>9931012564</v>
      </c>
      <c r="E50" s="52" t="s">
        <v>516</v>
      </c>
      <c r="F50" s="54">
        <v>46149</v>
      </c>
      <c r="G50" s="7" t="s">
        <v>222</v>
      </c>
      <c r="H50" s="7" t="s">
        <v>222</v>
      </c>
      <c r="I50" s="7" t="s">
        <v>222</v>
      </c>
      <c r="J50" s="7" t="s">
        <v>222</v>
      </c>
      <c r="K50" s="7" t="s">
        <v>313</v>
      </c>
      <c r="L50" s="7" t="s">
        <v>313</v>
      </c>
      <c r="M50" s="7" t="s">
        <v>313</v>
      </c>
      <c r="N50" s="7" t="s">
        <v>222</v>
      </c>
      <c r="O50" s="7"/>
      <c r="P50" s="7"/>
      <c r="Q50" s="7"/>
      <c r="R50" s="7"/>
    </row>
    <row r="51" spans="2:18" x14ac:dyDescent="0.3">
      <c r="B51" s="7">
        <v>48</v>
      </c>
      <c r="C51" s="52" t="s">
        <v>567</v>
      </c>
      <c r="D51" s="53" t="s">
        <v>568</v>
      </c>
      <c r="E51" s="44" t="s">
        <v>405</v>
      </c>
      <c r="F51" s="54">
        <v>46158</v>
      </c>
      <c r="G51" s="7" t="s">
        <v>222</v>
      </c>
      <c r="H51" s="7" t="s">
        <v>222</v>
      </c>
      <c r="I51" s="7" t="s">
        <v>222</v>
      </c>
      <c r="J51" s="7"/>
      <c r="K51" s="7" t="s">
        <v>313</v>
      </c>
      <c r="L51" s="7" t="s">
        <v>313</v>
      </c>
      <c r="M51" s="7" t="s">
        <v>313</v>
      </c>
      <c r="N51" s="91" t="s">
        <v>391</v>
      </c>
      <c r="O51" s="7">
        <v>2</v>
      </c>
      <c r="P51" s="7"/>
      <c r="Q51" s="7"/>
      <c r="R51" s="7"/>
    </row>
    <row r="52" spans="2:18" x14ac:dyDescent="0.3">
      <c r="B52" s="7">
        <v>49</v>
      </c>
      <c r="C52" s="52" t="s">
        <v>611</v>
      </c>
      <c r="D52" s="53">
        <v>9021542339</v>
      </c>
      <c r="E52" s="44" t="s">
        <v>405</v>
      </c>
      <c r="F52" s="54">
        <v>46179</v>
      </c>
      <c r="G52" s="7" t="s">
        <v>222</v>
      </c>
      <c r="H52" s="7" t="s">
        <v>222</v>
      </c>
      <c r="I52" s="7" t="s">
        <v>222</v>
      </c>
      <c r="J52" s="7" t="s">
        <v>222</v>
      </c>
      <c r="K52" s="7" t="s">
        <v>313</v>
      </c>
      <c r="L52" s="7" t="s">
        <v>313</v>
      </c>
      <c r="M52" s="7" t="s">
        <v>313</v>
      </c>
      <c r="N52" s="7" t="s">
        <v>222</v>
      </c>
      <c r="O52" s="7">
        <v>3</v>
      </c>
      <c r="P52" s="7"/>
      <c r="Q52" s="7"/>
      <c r="R52" s="7"/>
    </row>
    <row r="53" spans="2:18" x14ac:dyDescent="0.3">
      <c r="B53" s="7">
        <v>50</v>
      </c>
      <c r="C53" s="52" t="s">
        <v>610</v>
      </c>
      <c r="D53" s="53">
        <v>9373314498</v>
      </c>
      <c r="E53" s="44" t="s">
        <v>405</v>
      </c>
      <c r="F53" s="54">
        <v>46183</v>
      </c>
      <c r="G53" s="7" t="s">
        <v>222</v>
      </c>
      <c r="H53" s="7" t="s">
        <v>222</v>
      </c>
      <c r="I53" s="7" t="s">
        <v>222</v>
      </c>
      <c r="J53" s="7"/>
      <c r="K53" s="7" t="s">
        <v>313</v>
      </c>
      <c r="L53" s="7" t="s">
        <v>313</v>
      </c>
      <c r="M53" s="7" t="s">
        <v>313</v>
      </c>
      <c r="N53" s="91" t="s">
        <v>391</v>
      </c>
      <c r="O53" s="7">
        <v>1</v>
      </c>
      <c r="P53" s="7"/>
      <c r="Q53" s="7"/>
      <c r="R53" s="7"/>
    </row>
    <row r="54" spans="2:18" x14ac:dyDescent="0.3">
      <c r="B54" s="7">
        <v>51</v>
      </c>
      <c r="C54" s="52"/>
      <c r="D54" s="53"/>
      <c r="E54" s="52"/>
      <c r="F54" s="53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</sheetData>
  <autoFilter ref="L1:L54" xr:uid="{475502EA-E98F-4726-8F1D-20EAAE914AED}"/>
  <mergeCells count="1">
    <mergeCell ref="B1:R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13F8-7004-4C92-B849-0ED1D4E5BABD}">
  <dimension ref="A1:K47"/>
  <sheetViews>
    <sheetView zoomScale="90" zoomScaleNormal="90" workbookViewId="0">
      <selection sqref="A1:K44"/>
    </sheetView>
  </sheetViews>
  <sheetFormatPr defaultRowHeight="15" x14ac:dyDescent="0.3"/>
  <cols>
    <col min="1" max="1" width="7" style="1" customWidth="1"/>
    <col min="2" max="2" width="38.44140625" style="1" bestFit="1" customWidth="1"/>
    <col min="3" max="3" width="18" style="1" bestFit="1" customWidth="1"/>
    <col min="4" max="4" width="18" style="1" customWidth="1"/>
    <col min="5" max="5" width="30.109375" style="1" bestFit="1" customWidth="1"/>
    <col min="6" max="6" width="14.44140625" style="1" customWidth="1"/>
    <col min="7" max="7" width="7.6640625" style="1" customWidth="1"/>
    <col min="8" max="8" width="13" style="1" customWidth="1"/>
    <col min="9" max="9" width="15.77734375" style="1" bestFit="1" customWidth="1"/>
    <col min="10" max="10" width="14.109375" style="1" bestFit="1" customWidth="1"/>
    <col min="11" max="11" width="9.33203125" style="40" customWidth="1"/>
    <col min="12" max="16384" width="8.88671875" style="40"/>
  </cols>
  <sheetData>
    <row r="1" spans="1:11" ht="24" customHeight="1" x14ac:dyDescent="0.3">
      <c r="A1" s="219" t="s">
        <v>539</v>
      </c>
      <c r="B1" s="220"/>
      <c r="C1" s="220"/>
      <c r="D1" s="220"/>
      <c r="E1" s="220"/>
      <c r="F1" s="220"/>
      <c r="G1" s="220"/>
      <c r="H1" s="220"/>
      <c r="I1" s="220"/>
      <c r="J1" s="220"/>
      <c r="K1" s="221"/>
    </row>
    <row r="2" spans="1:11" ht="7.8" customHeight="1" x14ac:dyDescent="0.3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4"/>
    </row>
    <row r="3" spans="1:11" ht="31.8" thickBot="1" x14ac:dyDescent="0.35">
      <c r="A3" s="58" t="s">
        <v>0</v>
      </c>
      <c r="B3" s="8" t="s">
        <v>294</v>
      </c>
      <c r="C3" s="8" t="s">
        <v>518</v>
      </c>
      <c r="D3" s="8" t="s">
        <v>532</v>
      </c>
      <c r="E3" s="8" t="s">
        <v>301</v>
      </c>
      <c r="F3" s="8" t="s">
        <v>295</v>
      </c>
      <c r="G3" s="8" t="s">
        <v>296</v>
      </c>
      <c r="H3" s="8" t="s">
        <v>342</v>
      </c>
      <c r="I3" s="8" t="s">
        <v>479</v>
      </c>
      <c r="J3" s="132" t="s">
        <v>297</v>
      </c>
      <c r="K3" s="149" t="s">
        <v>540</v>
      </c>
    </row>
    <row r="4" spans="1:11" x14ac:dyDescent="0.3">
      <c r="A4" s="59">
        <v>1</v>
      </c>
      <c r="B4" s="53" t="s">
        <v>298</v>
      </c>
      <c r="C4" s="125" t="s">
        <v>519</v>
      </c>
      <c r="D4" s="146" t="s">
        <v>533</v>
      </c>
      <c r="E4" s="53" t="s">
        <v>405</v>
      </c>
      <c r="F4" s="117">
        <v>46048</v>
      </c>
      <c r="G4" s="120">
        <v>2025</v>
      </c>
      <c r="H4" s="7" t="s">
        <v>343</v>
      </c>
      <c r="I4" s="7">
        <v>8</v>
      </c>
      <c r="J4" s="60">
        <v>40</v>
      </c>
      <c r="K4" s="215">
        <f>SUM(J4:J12)</f>
        <v>491</v>
      </c>
    </row>
    <row r="5" spans="1:11" x14ac:dyDescent="0.3">
      <c r="A5" s="59">
        <v>2</v>
      </c>
      <c r="B5" s="53" t="s">
        <v>299</v>
      </c>
      <c r="C5" s="125" t="s">
        <v>519</v>
      </c>
      <c r="D5" s="146" t="s">
        <v>533</v>
      </c>
      <c r="E5" s="53" t="s">
        <v>405</v>
      </c>
      <c r="F5" s="117">
        <v>46055</v>
      </c>
      <c r="G5" s="120">
        <v>2025</v>
      </c>
      <c r="H5" s="7" t="s">
        <v>343</v>
      </c>
      <c r="I5" s="7">
        <v>6</v>
      </c>
      <c r="J5" s="60">
        <v>55</v>
      </c>
      <c r="K5" s="216"/>
    </row>
    <row r="6" spans="1:11" x14ac:dyDescent="0.3">
      <c r="A6" s="59">
        <v>3</v>
      </c>
      <c r="B6" s="53" t="s">
        <v>300</v>
      </c>
      <c r="C6" s="125" t="s">
        <v>519</v>
      </c>
      <c r="D6" s="146" t="s">
        <v>533</v>
      </c>
      <c r="E6" s="53" t="s">
        <v>405</v>
      </c>
      <c r="F6" s="117">
        <v>46104</v>
      </c>
      <c r="G6" s="120">
        <v>2025</v>
      </c>
      <c r="H6" s="7" t="s">
        <v>343</v>
      </c>
      <c r="I6" s="7">
        <v>10</v>
      </c>
      <c r="J6" s="60">
        <v>30</v>
      </c>
      <c r="K6" s="216"/>
    </row>
    <row r="7" spans="1:11" x14ac:dyDescent="0.3">
      <c r="A7" s="59">
        <v>4</v>
      </c>
      <c r="B7" s="53" t="s">
        <v>302</v>
      </c>
      <c r="C7" s="125" t="s">
        <v>519</v>
      </c>
      <c r="D7" s="146" t="s">
        <v>533</v>
      </c>
      <c r="E7" s="53" t="s">
        <v>405</v>
      </c>
      <c r="F7" s="117">
        <v>46103</v>
      </c>
      <c r="G7" s="120">
        <v>2025</v>
      </c>
      <c r="H7" s="7" t="s">
        <v>343</v>
      </c>
      <c r="I7" s="7">
        <v>8</v>
      </c>
      <c r="J7" s="60">
        <v>15</v>
      </c>
      <c r="K7" s="216"/>
    </row>
    <row r="8" spans="1:11" x14ac:dyDescent="0.3">
      <c r="A8" s="59">
        <v>5</v>
      </c>
      <c r="B8" s="53" t="s">
        <v>303</v>
      </c>
      <c r="C8" s="125" t="s">
        <v>519</v>
      </c>
      <c r="D8" s="146" t="s">
        <v>533</v>
      </c>
      <c r="E8" s="53" t="s">
        <v>405</v>
      </c>
      <c r="F8" s="117">
        <v>46123</v>
      </c>
      <c r="G8" s="120">
        <v>2025</v>
      </c>
      <c r="H8" s="7" t="s">
        <v>343</v>
      </c>
      <c r="I8" s="7">
        <v>6</v>
      </c>
      <c r="J8" s="60">
        <v>15</v>
      </c>
      <c r="K8" s="216"/>
    </row>
    <row r="9" spans="1:11" x14ac:dyDescent="0.3">
      <c r="A9" s="59">
        <v>6</v>
      </c>
      <c r="B9" s="53" t="s">
        <v>304</v>
      </c>
      <c r="C9" s="125" t="s">
        <v>519</v>
      </c>
      <c r="D9" s="147" t="s">
        <v>534</v>
      </c>
      <c r="E9" s="53" t="s">
        <v>405</v>
      </c>
      <c r="F9" s="117">
        <v>46173</v>
      </c>
      <c r="G9" s="120">
        <v>2025</v>
      </c>
      <c r="H9" s="7" t="s">
        <v>343</v>
      </c>
      <c r="I9" s="7">
        <v>8</v>
      </c>
      <c r="J9" s="60">
        <v>45</v>
      </c>
      <c r="K9" s="216"/>
    </row>
    <row r="10" spans="1:11" x14ac:dyDescent="0.3">
      <c r="A10" s="59">
        <v>7</v>
      </c>
      <c r="B10" s="53" t="s">
        <v>473</v>
      </c>
      <c r="C10" s="126" t="s">
        <v>520</v>
      </c>
      <c r="D10" s="126" t="s">
        <v>535</v>
      </c>
      <c r="E10" s="53" t="s">
        <v>409</v>
      </c>
      <c r="F10" s="53" t="s">
        <v>307</v>
      </c>
      <c r="G10" s="120">
        <v>2025</v>
      </c>
      <c r="H10" s="7" t="s">
        <v>344</v>
      </c>
      <c r="I10" s="7">
        <v>5</v>
      </c>
      <c r="J10" s="60">
        <v>20</v>
      </c>
      <c r="K10" s="216"/>
    </row>
    <row r="11" spans="1:11" x14ac:dyDescent="0.3">
      <c r="A11" s="59">
        <v>8</v>
      </c>
      <c r="B11" s="53" t="s">
        <v>600</v>
      </c>
      <c r="C11" s="126" t="s">
        <v>520</v>
      </c>
      <c r="D11" s="126" t="s">
        <v>536</v>
      </c>
      <c r="E11" s="53" t="s">
        <v>405</v>
      </c>
      <c r="F11" s="117">
        <v>46369</v>
      </c>
      <c r="G11" s="120">
        <v>2025</v>
      </c>
      <c r="H11" s="7" t="s">
        <v>345</v>
      </c>
      <c r="I11" s="7">
        <v>34</v>
      </c>
      <c r="J11" s="60">
        <v>261</v>
      </c>
      <c r="K11" s="216"/>
    </row>
    <row r="12" spans="1:11" ht="15.6" thickBot="1" x14ac:dyDescent="0.35">
      <c r="A12" s="59">
        <v>9</v>
      </c>
      <c r="B12" s="53" t="s">
        <v>305</v>
      </c>
      <c r="C12" s="126" t="s">
        <v>520</v>
      </c>
      <c r="D12" s="126" t="s">
        <v>535</v>
      </c>
      <c r="E12" s="53" t="s">
        <v>405</v>
      </c>
      <c r="F12" s="117">
        <v>46376</v>
      </c>
      <c r="G12" s="120">
        <v>2025</v>
      </c>
      <c r="H12" s="7" t="s">
        <v>346</v>
      </c>
      <c r="I12" s="7">
        <v>5</v>
      </c>
      <c r="J12" s="60">
        <v>10</v>
      </c>
      <c r="K12" s="217"/>
    </row>
    <row r="13" spans="1:11" x14ac:dyDescent="0.3">
      <c r="A13" s="59">
        <v>10</v>
      </c>
      <c r="B13" s="53" t="s">
        <v>306</v>
      </c>
      <c r="C13" s="125" t="s">
        <v>519</v>
      </c>
      <c r="D13" s="146" t="s">
        <v>533</v>
      </c>
      <c r="E13" s="53" t="s">
        <v>409</v>
      </c>
      <c r="F13" s="117">
        <v>46033</v>
      </c>
      <c r="G13" s="121">
        <v>2026</v>
      </c>
      <c r="H13" s="7" t="s">
        <v>344</v>
      </c>
      <c r="I13" s="7">
        <v>11</v>
      </c>
      <c r="J13" s="60">
        <v>244</v>
      </c>
      <c r="K13" s="218">
        <f>SUM(J13:J42)</f>
        <v>1234</v>
      </c>
    </row>
    <row r="14" spans="1:11" x14ac:dyDescent="0.3">
      <c r="A14" s="59">
        <v>11</v>
      </c>
      <c r="B14" s="53" t="s">
        <v>599</v>
      </c>
      <c r="C14" s="126" t="s">
        <v>520</v>
      </c>
      <c r="D14" s="126" t="s">
        <v>536</v>
      </c>
      <c r="E14" s="53" t="s">
        <v>407</v>
      </c>
      <c r="F14" s="117">
        <v>46056</v>
      </c>
      <c r="G14" s="121">
        <v>2026</v>
      </c>
      <c r="H14" s="7" t="s">
        <v>347</v>
      </c>
      <c r="I14" s="7">
        <v>26</v>
      </c>
      <c r="J14" s="60">
        <v>296</v>
      </c>
      <c r="K14" s="218"/>
    </row>
    <row r="15" spans="1:11" x14ac:dyDescent="0.3">
      <c r="A15" s="59">
        <v>12</v>
      </c>
      <c r="B15" s="53" t="s">
        <v>350</v>
      </c>
      <c r="C15" s="125" t="s">
        <v>519</v>
      </c>
      <c r="D15" s="147" t="s">
        <v>534</v>
      </c>
      <c r="E15" s="53" t="s">
        <v>409</v>
      </c>
      <c r="F15" s="117">
        <v>46071</v>
      </c>
      <c r="G15" s="121">
        <v>2026</v>
      </c>
      <c r="H15" s="7" t="s">
        <v>465</v>
      </c>
      <c r="I15" s="7">
        <v>8</v>
      </c>
      <c r="J15" s="60">
        <v>47</v>
      </c>
      <c r="K15" s="218"/>
    </row>
    <row r="16" spans="1:11" x14ac:dyDescent="0.3">
      <c r="A16" s="59">
        <v>13</v>
      </c>
      <c r="B16" s="53" t="s">
        <v>300</v>
      </c>
      <c r="C16" s="125" t="s">
        <v>519</v>
      </c>
      <c r="D16" s="146" t="s">
        <v>533</v>
      </c>
      <c r="E16" s="53" t="s">
        <v>405</v>
      </c>
      <c r="F16" s="117">
        <v>46096</v>
      </c>
      <c r="G16" s="121">
        <v>2026</v>
      </c>
      <c r="H16" s="7" t="s">
        <v>343</v>
      </c>
      <c r="I16" s="7">
        <v>11</v>
      </c>
      <c r="J16" s="60">
        <v>41</v>
      </c>
      <c r="K16" s="218"/>
    </row>
    <row r="17" spans="1:11" x14ac:dyDescent="0.3">
      <c r="A17" s="59">
        <v>14</v>
      </c>
      <c r="B17" s="53" t="s">
        <v>598</v>
      </c>
      <c r="C17" s="126" t="s">
        <v>520</v>
      </c>
      <c r="D17" s="148" t="s">
        <v>537</v>
      </c>
      <c r="E17" s="53" t="s">
        <v>405</v>
      </c>
      <c r="F17" s="117">
        <v>46105</v>
      </c>
      <c r="G17" s="121">
        <v>2026</v>
      </c>
      <c r="H17" s="7" t="s">
        <v>465</v>
      </c>
      <c r="I17" s="7">
        <v>4</v>
      </c>
      <c r="J17" s="60">
        <v>28</v>
      </c>
      <c r="K17" s="218"/>
    </row>
    <row r="18" spans="1:11" x14ac:dyDescent="0.3">
      <c r="A18" s="59">
        <v>15</v>
      </c>
      <c r="B18" s="53" t="s">
        <v>598</v>
      </c>
      <c r="C18" s="126" t="s">
        <v>520</v>
      </c>
      <c r="D18" s="148" t="s">
        <v>537</v>
      </c>
      <c r="E18" s="53" t="s">
        <v>405</v>
      </c>
      <c r="F18" s="117">
        <v>46106</v>
      </c>
      <c r="G18" s="121">
        <v>2026</v>
      </c>
      <c r="H18" s="7" t="s">
        <v>465</v>
      </c>
      <c r="I18" s="7">
        <v>4</v>
      </c>
      <c r="J18" s="60">
        <v>41</v>
      </c>
      <c r="K18" s="218"/>
    </row>
    <row r="19" spans="1:11" x14ac:dyDescent="0.3">
      <c r="A19" s="59">
        <v>16</v>
      </c>
      <c r="B19" s="53" t="s">
        <v>463</v>
      </c>
      <c r="C19" s="125" t="s">
        <v>519</v>
      </c>
      <c r="D19" s="146" t="s">
        <v>533</v>
      </c>
      <c r="E19" s="53" t="s">
        <v>464</v>
      </c>
      <c r="F19" s="117">
        <v>46109</v>
      </c>
      <c r="G19" s="121">
        <v>2026</v>
      </c>
      <c r="H19" s="7" t="s">
        <v>346</v>
      </c>
      <c r="I19" s="7">
        <v>9</v>
      </c>
      <c r="J19" s="60">
        <v>26</v>
      </c>
      <c r="K19" s="218"/>
    </row>
    <row r="20" spans="1:11" x14ac:dyDescent="0.3">
      <c r="A20" s="59">
        <v>17</v>
      </c>
      <c r="B20" s="53" t="s">
        <v>601</v>
      </c>
      <c r="C20" s="126" t="s">
        <v>520</v>
      </c>
      <c r="D20" s="126" t="s">
        <v>536</v>
      </c>
      <c r="E20" s="53" t="s">
        <v>414</v>
      </c>
      <c r="F20" s="117">
        <v>46116</v>
      </c>
      <c r="G20" s="121">
        <v>2026</v>
      </c>
      <c r="H20" s="7" t="s">
        <v>345</v>
      </c>
      <c r="I20" s="7">
        <v>39</v>
      </c>
      <c r="J20" s="60">
        <v>135</v>
      </c>
      <c r="K20" s="218"/>
    </row>
    <row r="21" spans="1:11" x14ac:dyDescent="0.3">
      <c r="A21" s="59">
        <v>18</v>
      </c>
      <c r="B21" s="53" t="s">
        <v>517</v>
      </c>
      <c r="C21" s="125" t="s">
        <v>519</v>
      </c>
      <c r="D21" s="148" t="s">
        <v>537</v>
      </c>
      <c r="E21" s="53" t="s">
        <v>405</v>
      </c>
      <c r="F21" s="117">
        <v>46156</v>
      </c>
      <c r="G21" s="121">
        <v>2026</v>
      </c>
      <c r="H21" s="7" t="s">
        <v>472</v>
      </c>
      <c r="I21" s="7">
        <v>8</v>
      </c>
      <c r="J21" s="60">
        <v>55</v>
      </c>
      <c r="K21" s="218"/>
    </row>
    <row r="22" spans="1:11" x14ac:dyDescent="0.3">
      <c r="A22" s="59">
        <v>19</v>
      </c>
      <c r="B22" s="53" t="s">
        <v>530</v>
      </c>
      <c r="C22" s="125" t="s">
        <v>519</v>
      </c>
      <c r="D22" s="148" t="s">
        <v>537</v>
      </c>
      <c r="E22" s="53" t="s">
        <v>405</v>
      </c>
      <c r="F22" s="117">
        <v>46163</v>
      </c>
      <c r="G22" s="121">
        <v>2026</v>
      </c>
      <c r="H22" s="7" t="s">
        <v>472</v>
      </c>
      <c r="I22" s="7">
        <v>8</v>
      </c>
      <c r="J22" s="60">
        <v>67</v>
      </c>
      <c r="K22" s="218"/>
    </row>
    <row r="23" spans="1:11" x14ac:dyDescent="0.3">
      <c r="A23" s="59">
        <v>20</v>
      </c>
      <c r="B23" s="53" t="s">
        <v>531</v>
      </c>
      <c r="C23" s="125" t="s">
        <v>519</v>
      </c>
      <c r="D23" s="146" t="s">
        <v>533</v>
      </c>
      <c r="E23" s="53" t="s">
        <v>405</v>
      </c>
      <c r="F23" s="117">
        <v>46166</v>
      </c>
      <c r="G23" s="121">
        <v>2026</v>
      </c>
      <c r="H23" s="7" t="s">
        <v>346</v>
      </c>
      <c r="I23" s="7">
        <v>8</v>
      </c>
      <c r="J23" s="60">
        <v>31</v>
      </c>
      <c r="K23" s="218"/>
    </row>
    <row r="24" spans="1:11" x14ac:dyDescent="0.3">
      <c r="A24" s="59">
        <v>21</v>
      </c>
      <c r="B24" s="53" t="s">
        <v>298</v>
      </c>
      <c r="C24" s="125" t="s">
        <v>519</v>
      </c>
      <c r="D24" s="146" t="s">
        <v>533</v>
      </c>
      <c r="E24" s="53" t="s">
        <v>405</v>
      </c>
      <c r="F24" s="117">
        <v>46180</v>
      </c>
      <c r="G24" s="121">
        <v>2026</v>
      </c>
      <c r="H24" s="7" t="s">
        <v>465</v>
      </c>
      <c r="I24" s="7">
        <v>6</v>
      </c>
      <c r="J24" s="60">
        <v>35</v>
      </c>
      <c r="K24" s="218"/>
    </row>
    <row r="25" spans="1:11" x14ac:dyDescent="0.3">
      <c r="A25" s="59">
        <v>22</v>
      </c>
      <c r="B25" s="53" t="s">
        <v>609</v>
      </c>
      <c r="C25" s="125" t="s">
        <v>519</v>
      </c>
      <c r="D25" s="146" t="s">
        <v>533</v>
      </c>
      <c r="E25" s="53" t="s">
        <v>405</v>
      </c>
      <c r="F25" s="117">
        <v>46186</v>
      </c>
      <c r="G25" s="121">
        <v>2026</v>
      </c>
      <c r="H25" s="7" t="s">
        <v>612</v>
      </c>
      <c r="I25" s="7">
        <v>6</v>
      </c>
      <c r="J25" s="60">
        <v>17</v>
      </c>
      <c r="K25" s="218"/>
    </row>
    <row r="26" spans="1:11" x14ac:dyDescent="0.3">
      <c r="A26" s="59">
        <v>23</v>
      </c>
      <c r="B26" s="53" t="s">
        <v>538</v>
      </c>
      <c r="C26" s="125" t="s">
        <v>519</v>
      </c>
      <c r="D26" s="146" t="s">
        <v>533</v>
      </c>
      <c r="E26" s="53" t="s">
        <v>405</v>
      </c>
      <c r="F26" s="117">
        <v>46187</v>
      </c>
      <c r="G26" s="121">
        <v>2026</v>
      </c>
      <c r="H26" s="7" t="s">
        <v>346</v>
      </c>
      <c r="I26" s="7">
        <v>7</v>
      </c>
      <c r="J26" s="60">
        <v>24</v>
      </c>
      <c r="K26" s="218"/>
    </row>
    <row r="27" spans="1:11" x14ac:dyDescent="0.3">
      <c r="A27" s="59">
        <v>24</v>
      </c>
      <c r="B27" s="53" t="s">
        <v>573</v>
      </c>
      <c r="C27" s="125" t="s">
        <v>519</v>
      </c>
      <c r="D27" s="148" t="s">
        <v>537</v>
      </c>
      <c r="E27" s="53" t="s">
        <v>405</v>
      </c>
      <c r="F27" s="117">
        <v>46189</v>
      </c>
      <c r="G27" s="121">
        <v>2026</v>
      </c>
      <c r="H27" s="7" t="s">
        <v>582</v>
      </c>
      <c r="I27" s="7">
        <v>8</v>
      </c>
      <c r="J27" s="60">
        <v>57</v>
      </c>
      <c r="K27" s="218"/>
    </row>
    <row r="28" spans="1:11" x14ac:dyDescent="0.3">
      <c r="A28" s="59">
        <v>25</v>
      </c>
      <c r="B28" s="53" t="s">
        <v>580</v>
      </c>
      <c r="C28" s="125" t="s">
        <v>519</v>
      </c>
      <c r="D28" s="148" t="s">
        <v>537</v>
      </c>
      <c r="E28" s="53" t="s">
        <v>405</v>
      </c>
      <c r="F28" s="117">
        <v>46190</v>
      </c>
      <c r="G28" s="121">
        <v>2026</v>
      </c>
      <c r="H28" s="7" t="s">
        <v>582</v>
      </c>
      <c r="I28" s="7">
        <v>8</v>
      </c>
      <c r="J28" s="60">
        <v>32</v>
      </c>
      <c r="K28" s="218"/>
    </row>
    <row r="29" spans="1:11" x14ac:dyDescent="0.3">
      <c r="A29" s="59">
        <v>26</v>
      </c>
      <c r="B29" s="53" t="s">
        <v>581</v>
      </c>
      <c r="C29" s="125" t="s">
        <v>519</v>
      </c>
      <c r="D29" s="148" t="s">
        <v>537</v>
      </c>
      <c r="E29" s="53" t="s">
        <v>405</v>
      </c>
      <c r="F29" s="117">
        <v>46191</v>
      </c>
      <c r="G29" s="121">
        <v>2026</v>
      </c>
      <c r="H29" s="7" t="s">
        <v>582</v>
      </c>
      <c r="I29" s="7">
        <v>8</v>
      </c>
      <c r="J29" s="60">
        <v>58</v>
      </c>
      <c r="K29" s="218"/>
    </row>
    <row r="30" spans="1:11" x14ac:dyDescent="0.3">
      <c r="A30" s="59">
        <v>27</v>
      </c>
      <c r="B30" s="53" t="s">
        <v>628</v>
      </c>
      <c r="C30" s="125" t="s">
        <v>519</v>
      </c>
      <c r="D30" s="146" t="s">
        <v>533</v>
      </c>
      <c r="E30" s="53" t="s">
        <v>405</v>
      </c>
      <c r="F30" s="117">
        <v>46194</v>
      </c>
      <c r="G30" s="121">
        <v>2026</v>
      </c>
      <c r="H30" s="7" t="s">
        <v>346</v>
      </c>
      <c r="I30" s="7">
        <v>5</v>
      </c>
      <c r="J30" s="60"/>
      <c r="K30" s="218"/>
    </row>
    <row r="31" spans="1:11" x14ac:dyDescent="0.3">
      <c r="A31" s="59">
        <v>28</v>
      </c>
      <c r="B31" s="53" t="s">
        <v>597</v>
      </c>
      <c r="C31" s="125" t="s">
        <v>519</v>
      </c>
      <c r="D31" s="148" t="s">
        <v>537</v>
      </c>
      <c r="E31" s="53" t="s">
        <v>405</v>
      </c>
      <c r="F31" s="117">
        <v>46196</v>
      </c>
      <c r="G31" s="121">
        <v>2026</v>
      </c>
      <c r="H31" s="7" t="s">
        <v>472</v>
      </c>
      <c r="I31" s="7">
        <v>4</v>
      </c>
      <c r="J31" s="60"/>
      <c r="K31" s="218"/>
    </row>
    <row r="32" spans="1:11" x14ac:dyDescent="0.3">
      <c r="A32" s="59">
        <v>29</v>
      </c>
      <c r="B32" s="53" t="s">
        <v>598</v>
      </c>
      <c r="C32" s="125" t="s">
        <v>519</v>
      </c>
      <c r="D32" s="148" t="s">
        <v>537</v>
      </c>
      <c r="E32" s="53" t="s">
        <v>405</v>
      </c>
      <c r="F32" s="117">
        <v>46197</v>
      </c>
      <c r="G32" s="121">
        <v>2026</v>
      </c>
      <c r="H32" s="7" t="s">
        <v>472</v>
      </c>
      <c r="I32" s="7">
        <v>4</v>
      </c>
      <c r="J32" s="60"/>
      <c r="K32" s="218"/>
    </row>
    <row r="33" spans="1:11" x14ac:dyDescent="0.3">
      <c r="A33" s="59">
        <v>30</v>
      </c>
      <c r="B33" s="53" t="s">
        <v>608</v>
      </c>
      <c r="C33" s="125" t="s">
        <v>519</v>
      </c>
      <c r="D33" s="146" t="s">
        <v>533</v>
      </c>
      <c r="E33" s="53" t="s">
        <v>405</v>
      </c>
      <c r="F33" s="117" t="s">
        <v>559</v>
      </c>
      <c r="G33" s="121">
        <v>2026</v>
      </c>
      <c r="H33" s="7" t="s">
        <v>346</v>
      </c>
      <c r="I33" s="7">
        <v>7</v>
      </c>
      <c r="J33" s="60"/>
      <c r="K33" s="218"/>
    </row>
    <row r="34" spans="1:11" x14ac:dyDescent="0.3">
      <c r="A34" s="59">
        <v>31</v>
      </c>
      <c r="B34" s="53" t="s">
        <v>607</v>
      </c>
      <c r="C34" s="125" t="s">
        <v>519</v>
      </c>
      <c r="D34" s="146" t="s">
        <v>533</v>
      </c>
      <c r="E34" s="53" t="s">
        <v>405</v>
      </c>
      <c r="F34" s="117" t="s">
        <v>606</v>
      </c>
      <c r="G34" s="121">
        <v>2026</v>
      </c>
      <c r="H34" s="7" t="s">
        <v>346</v>
      </c>
      <c r="I34" s="7">
        <v>7</v>
      </c>
      <c r="J34" s="60"/>
      <c r="K34" s="218"/>
    </row>
    <row r="35" spans="1:11" x14ac:dyDescent="0.3">
      <c r="A35" s="59">
        <v>32</v>
      </c>
      <c r="B35" s="53" t="s">
        <v>630</v>
      </c>
      <c r="C35" s="125" t="s">
        <v>519</v>
      </c>
      <c r="D35" s="148" t="s">
        <v>537</v>
      </c>
      <c r="E35" s="53" t="s">
        <v>405</v>
      </c>
      <c r="F35" s="117" t="s">
        <v>606</v>
      </c>
      <c r="G35" s="121">
        <v>2026</v>
      </c>
      <c r="H35" s="7" t="s">
        <v>472</v>
      </c>
      <c r="I35" s="7">
        <v>6</v>
      </c>
      <c r="J35" s="60"/>
      <c r="K35" s="218"/>
    </row>
    <row r="36" spans="1:11" x14ac:dyDescent="0.3">
      <c r="A36" s="59">
        <v>33</v>
      </c>
      <c r="B36" s="53" t="s">
        <v>596</v>
      </c>
      <c r="C36" s="125" t="s">
        <v>519</v>
      </c>
      <c r="D36" s="147" t="s">
        <v>534</v>
      </c>
      <c r="E36" s="53" t="s">
        <v>405</v>
      </c>
      <c r="F36" s="117" t="s">
        <v>585</v>
      </c>
      <c r="G36" s="121">
        <v>2026</v>
      </c>
      <c r="H36" s="7" t="s">
        <v>472</v>
      </c>
      <c r="I36" s="7">
        <v>12</v>
      </c>
      <c r="J36" s="60"/>
      <c r="K36" s="218"/>
    </row>
    <row r="37" spans="1:11" x14ac:dyDescent="0.3">
      <c r="A37" s="59">
        <v>34</v>
      </c>
      <c r="B37" s="53" t="s">
        <v>560</v>
      </c>
      <c r="C37" s="125" t="s">
        <v>519</v>
      </c>
      <c r="D37" s="147" t="s">
        <v>534</v>
      </c>
      <c r="E37" s="53" t="s">
        <v>407</v>
      </c>
      <c r="F37" s="117">
        <v>46219</v>
      </c>
      <c r="G37" s="121">
        <v>2026</v>
      </c>
      <c r="H37" s="7" t="s">
        <v>465</v>
      </c>
      <c r="I37" s="7">
        <v>11</v>
      </c>
      <c r="J37" s="60"/>
      <c r="K37" s="218"/>
    </row>
    <row r="38" spans="1:11" x14ac:dyDescent="0.3">
      <c r="A38" s="59">
        <v>35</v>
      </c>
      <c r="B38" s="53" t="s">
        <v>470</v>
      </c>
      <c r="C38" s="125" t="s">
        <v>519</v>
      </c>
      <c r="D38" s="147" t="s">
        <v>548</v>
      </c>
      <c r="E38" s="53" t="s">
        <v>407</v>
      </c>
      <c r="F38" s="117">
        <v>46220</v>
      </c>
      <c r="G38" s="121">
        <v>2026</v>
      </c>
      <c r="H38" s="7" t="s">
        <v>472</v>
      </c>
      <c r="I38" s="7">
        <v>11</v>
      </c>
      <c r="J38" s="60"/>
      <c r="K38" s="218"/>
    </row>
    <row r="39" spans="1:11" x14ac:dyDescent="0.3">
      <c r="A39" s="59">
        <v>36</v>
      </c>
      <c r="B39" s="53" t="s">
        <v>471</v>
      </c>
      <c r="C39" s="125" t="s">
        <v>519</v>
      </c>
      <c r="D39" s="146" t="s">
        <v>533</v>
      </c>
      <c r="E39" s="53" t="s">
        <v>407</v>
      </c>
      <c r="F39" s="117">
        <v>46220</v>
      </c>
      <c r="G39" s="121">
        <v>2026</v>
      </c>
      <c r="H39" s="7" t="s">
        <v>346</v>
      </c>
      <c r="I39" s="7">
        <v>11</v>
      </c>
      <c r="J39" s="60"/>
      <c r="K39" s="218"/>
    </row>
    <row r="40" spans="1:11" x14ac:dyDescent="0.3">
      <c r="A40" s="59">
        <v>37</v>
      </c>
      <c r="B40" s="53" t="s">
        <v>481</v>
      </c>
      <c r="C40" s="125" t="s">
        <v>519</v>
      </c>
      <c r="D40" s="147" t="s">
        <v>534</v>
      </c>
      <c r="E40" s="53" t="s">
        <v>407</v>
      </c>
      <c r="F40" s="117">
        <v>46221</v>
      </c>
      <c r="G40" s="121">
        <v>2026</v>
      </c>
      <c r="H40" s="7" t="s">
        <v>465</v>
      </c>
      <c r="I40" s="7">
        <v>11</v>
      </c>
      <c r="J40" s="60"/>
      <c r="K40" s="218"/>
    </row>
    <row r="41" spans="1:11" x14ac:dyDescent="0.3">
      <c r="A41" s="59">
        <v>38</v>
      </c>
      <c r="B41" s="53" t="s">
        <v>586</v>
      </c>
      <c r="C41" s="126" t="s">
        <v>520</v>
      </c>
      <c r="D41" s="126" t="s">
        <v>536</v>
      </c>
      <c r="E41" s="53" t="s">
        <v>587</v>
      </c>
      <c r="F41" s="117">
        <v>46222</v>
      </c>
      <c r="G41" s="121">
        <v>2026</v>
      </c>
      <c r="H41" s="7" t="s">
        <v>633</v>
      </c>
      <c r="I41" s="7">
        <v>24</v>
      </c>
      <c r="J41" s="60"/>
      <c r="K41" s="218"/>
    </row>
    <row r="42" spans="1:11" x14ac:dyDescent="0.3">
      <c r="A42" s="59">
        <v>39</v>
      </c>
      <c r="B42" s="169" t="s">
        <v>605</v>
      </c>
      <c r="C42" s="168" t="s">
        <v>519</v>
      </c>
      <c r="D42" s="146" t="s">
        <v>533</v>
      </c>
      <c r="E42" s="169" t="s">
        <v>604</v>
      </c>
      <c r="F42" s="170" t="s">
        <v>632</v>
      </c>
      <c r="G42" s="121">
        <v>2026</v>
      </c>
      <c r="H42" s="158" t="s">
        <v>344</v>
      </c>
      <c r="I42" s="158">
        <v>10</v>
      </c>
      <c r="J42" s="60"/>
      <c r="K42" s="218"/>
    </row>
    <row r="43" spans="1:11" ht="15.6" thickBot="1" x14ac:dyDescent="0.35">
      <c r="A43" s="59">
        <v>40</v>
      </c>
      <c r="B43" s="53" t="s">
        <v>304</v>
      </c>
      <c r="C43" s="125" t="s">
        <v>519</v>
      </c>
      <c r="D43" s="147" t="s">
        <v>534</v>
      </c>
      <c r="E43" s="53" t="s">
        <v>405</v>
      </c>
      <c r="F43" s="117" t="s">
        <v>584</v>
      </c>
      <c r="G43" s="121">
        <v>2026</v>
      </c>
      <c r="H43" s="7" t="s">
        <v>472</v>
      </c>
      <c r="I43" s="7">
        <v>10</v>
      </c>
      <c r="J43" s="171"/>
      <c r="K43" s="167"/>
    </row>
    <row r="44" spans="1:11" ht="18" thickBot="1" x14ac:dyDescent="0.35">
      <c r="A44" s="213" t="s">
        <v>308</v>
      </c>
      <c r="B44" s="214"/>
      <c r="C44" s="214"/>
      <c r="D44" s="214"/>
      <c r="E44" s="214"/>
      <c r="F44" s="214"/>
      <c r="G44" s="214"/>
      <c r="H44" s="214"/>
      <c r="I44" s="214"/>
      <c r="J44" s="61">
        <f>SUM(J4:J42)</f>
        <v>1725</v>
      </c>
      <c r="K44" s="136">
        <f>SUM(K4:K42)</f>
        <v>1725</v>
      </c>
    </row>
    <row r="47" spans="1:11" x14ac:dyDescent="0.3">
      <c r="B47" s="212"/>
      <c r="C47" s="212"/>
      <c r="D47" s="212"/>
      <c r="E47" s="212"/>
      <c r="F47" s="212"/>
      <c r="G47" s="212"/>
      <c r="H47" s="212"/>
      <c r="I47" s="212"/>
      <c r="J47" s="212"/>
      <c r="K47" s="212"/>
    </row>
  </sheetData>
  <mergeCells count="6">
    <mergeCell ref="B47:K47"/>
    <mergeCell ref="A44:I44"/>
    <mergeCell ref="K4:K12"/>
    <mergeCell ref="K13:K42"/>
    <mergeCell ref="A1:K1"/>
    <mergeCell ref="A2:K2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6247-178D-456B-A742-0E280233714E}">
  <dimension ref="B2:M55"/>
  <sheetViews>
    <sheetView workbookViewId="0">
      <selection activeCell="B2" sqref="B2:M55"/>
    </sheetView>
  </sheetViews>
  <sheetFormatPr defaultColWidth="34.44140625" defaultRowHeight="15.6" x14ac:dyDescent="0.3"/>
  <cols>
    <col min="1" max="1" width="5.6640625" customWidth="1"/>
    <col min="2" max="2" width="9.21875" customWidth="1"/>
    <col min="3" max="3" width="22.6640625" customWidth="1"/>
    <col min="4" max="4" width="40.77734375" bestFit="1" customWidth="1"/>
    <col min="5" max="5" width="44.5546875" bestFit="1" customWidth="1"/>
    <col min="6" max="6" width="49.109375" bestFit="1" customWidth="1"/>
    <col min="7" max="7" width="46.33203125" bestFit="1" customWidth="1"/>
    <col min="8" max="8" width="30.109375" bestFit="1" customWidth="1"/>
    <col min="9" max="9" width="40.44140625" style="139" customWidth="1"/>
    <col min="10" max="10" width="22.88671875" style="139" customWidth="1"/>
    <col min="11" max="11" width="35.6640625" style="139" bestFit="1" customWidth="1"/>
    <col min="12" max="12" width="22.88671875" style="139" customWidth="1"/>
    <col min="13" max="13" width="23.5546875" style="57" customWidth="1"/>
  </cols>
  <sheetData>
    <row r="2" spans="2:13" ht="17.399999999999999" x14ac:dyDescent="0.3">
      <c r="B2" s="210" t="s">
        <v>209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2:13" x14ac:dyDescent="0.3">
      <c r="B3" s="34" t="s">
        <v>0</v>
      </c>
      <c r="C3" s="34" t="s">
        <v>210</v>
      </c>
      <c r="D3" s="34" t="s">
        <v>211</v>
      </c>
      <c r="E3" s="34" t="s">
        <v>212</v>
      </c>
      <c r="F3" s="34" t="s">
        <v>213</v>
      </c>
      <c r="G3" s="34" t="s">
        <v>214</v>
      </c>
      <c r="H3" s="34" t="s">
        <v>215</v>
      </c>
      <c r="I3" s="34" t="s">
        <v>216</v>
      </c>
      <c r="J3" s="34" t="s">
        <v>217</v>
      </c>
      <c r="K3" s="34" t="s">
        <v>506</v>
      </c>
      <c r="L3" s="34" t="s">
        <v>507</v>
      </c>
      <c r="M3" s="34" t="s">
        <v>285</v>
      </c>
    </row>
    <row r="4" spans="2:13" x14ac:dyDescent="0.3">
      <c r="B4" s="35"/>
      <c r="C4" s="36"/>
      <c r="D4" s="51"/>
      <c r="E4" s="51"/>
      <c r="F4" s="51"/>
      <c r="G4" s="51"/>
      <c r="H4" s="51"/>
      <c r="I4" s="36"/>
      <c r="J4" s="36"/>
      <c r="K4" s="36"/>
      <c r="L4" s="36"/>
      <c r="M4" s="35"/>
    </row>
    <row r="5" spans="2:13" x14ac:dyDescent="0.3">
      <c r="B5" s="35">
        <v>1</v>
      </c>
      <c r="C5" s="56" t="s">
        <v>138</v>
      </c>
      <c r="D5" s="69" t="s">
        <v>263</v>
      </c>
      <c r="E5" s="36"/>
      <c r="F5" s="36"/>
      <c r="G5" s="36"/>
      <c r="H5" s="36"/>
      <c r="I5" s="36"/>
      <c r="J5" s="36"/>
      <c r="K5" s="36"/>
      <c r="L5" s="36"/>
      <c r="M5" s="35">
        <v>1</v>
      </c>
    </row>
    <row r="6" spans="2:13" x14ac:dyDescent="0.3">
      <c r="B6" s="35">
        <v>2</v>
      </c>
      <c r="C6" s="56" t="s">
        <v>140</v>
      </c>
      <c r="D6" s="69" t="s">
        <v>218</v>
      </c>
      <c r="E6" s="69" t="s">
        <v>219</v>
      </c>
      <c r="F6" s="69" t="s">
        <v>283</v>
      </c>
      <c r="G6" s="69" t="s">
        <v>284</v>
      </c>
      <c r="H6" s="36"/>
      <c r="I6" s="36"/>
      <c r="J6" s="36"/>
      <c r="K6" s="36"/>
      <c r="L6" s="36"/>
      <c r="M6" s="35">
        <v>4</v>
      </c>
    </row>
    <row r="7" spans="2:13" x14ac:dyDescent="0.3">
      <c r="B7" s="35">
        <v>3</v>
      </c>
      <c r="C7" s="56" t="s">
        <v>177</v>
      </c>
      <c r="D7" s="70" t="s">
        <v>176</v>
      </c>
      <c r="E7" s="70" t="s">
        <v>178</v>
      </c>
      <c r="F7" s="36"/>
      <c r="G7" s="36"/>
      <c r="H7" s="36"/>
      <c r="I7" s="36"/>
      <c r="J7" s="36"/>
      <c r="K7" s="36"/>
      <c r="L7" s="36"/>
      <c r="M7" s="35">
        <v>2</v>
      </c>
    </row>
    <row r="8" spans="2:13" x14ac:dyDescent="0.3">
      <c r="B8" s="35">
        <v>4</v>
      </c>
      <c r="C8" s="56" t="s">
        <v>146</v>
      </c>
      <c r="D8" s="70" t="s">
        <v>135</v>
      </c>
      <c r="E8" s="36"/>
      <c r="F8" s="36"/>
      <c r="G8" s="36"/>
      <c r="H8" s="36"/>
      <c r="I8" s="36"/>
      <c r="J8" s="36"/>
      <c r="K8" s="36"/>
      <c r="L8" s="36"/>
      <c r="M8" s="35">
        <v>1</v>
      </c>
    </row>
    <row r="9" spans="2:13" x14ac:dyDescent="0.3">
      <c r="B9" s="35">
        <v>5</v>
      </c>
      <c r="C9" s="56" t="s">
        <v>147</v>
      </c>
      <c r="D9" s="69" t="s">
        <v>109</v>
      </c>
      <c r="E9" s="69" t="s">
        <v>110</v>
      </c>
      <c r="F9" s="36"/>
      <c r="G9" s="36"/>
      <c r="H9" s="36"/>
      <c r="I9" s="36"/>
      <c r="J9" s="36"/>
      <c r="K9" s="36"/>
      <c r="L9" s="36"/>
      <c r="M9" s="35">
        <v>2</v>
      </c>
    </row>
    <row r="10" spans="2:13" x14ac:dyDescent="0.3">
      <c r="B10" s="35">
        <v>6</v>
      </c>
      <c r="C10" s="56" t="s">
        <v>148</v>
      </c>
      <c r="D10" s="70" t="s">
        <v>237</v>
      </c>
      <c r="E10" s="70" t="s">
        <v>90</v>
      </c>
      <c r="F10" s="70" t="s">
        <v>238</v>
      </c>
      <c r="G10" s="70" t="s">
        <v>422</v>
      </c>
      <c r="H10" s="36"/>
      <c r="I10" s="36"/>
      <c r="J10" s="36"/>
      <c r="K10" s="36"/>
      <c r="L10" s="36"/>
      <c r="M10" s="35">
        <v>4</v>
      </c>
    </row>
    <row r="11" spans="2:13" x14ac:dyDescent="0.3">
      <c r="B11" s="35">
        <v>7</v>
      </c>
      <c r="C11" s="56" t="s">
        <v>149</v>
      </c>
      <c r="D11" s="69" t="s">
        <v>91</v>
      </c>
      <c r="E11" s="69" t="s">
        <v>340</v>
      </c>
      <c r="F11" s="36"/>
      <c r="G11" s="36"/>
      <c r="H11" s="36"/>
      <c r="I11" s="36"/>
      <c r="J11" s="36"/>
      <c r="K11" s="36"/>
      <c r="L11" s="36"/>
      <c r="M11" s="35">
        <v>2</v>
      </c>
    </row>
    <row r="12" spans="2:13" x14ac:dyDescent="0.3">
      <c r="B12" s="35">
        <v>8</v>
      </c>
      <c r="C12" s="56" t="s">
        <v>150</v>
      </c>
      <c r="D12" s="71" t="s">
        <v>254</v>
      </c>
      <c r="E12" s="71" t="s">
        <v>255</v>
      </c>
      <c r="F12" s="36"/>
      <c r="G12" s="36"/>
      <c r="H12" s="36"/>
      <c r="I12" s="36"/>
      <c r="J12" s="36"/>
      <c r="K12" s="36"/>
      <c r="L12" s="36"/>
      <c r="M12" s="35">
        <v>2</v>
      </c>
    </row>
    <row r="13" spans="2:13" x14ac:dyDescent="0.3">
      <c r="B13" s="35">
        <v>9</v>
      </c>
      <c r="C13" s="56" t="s">
        <v>151</v>
      </c>
      <c r="D13" s="72" t="s">
        <v>256</v>
      </c>
      <c r="E13" s="69" t="s">
        <v>334</v>
      </c>
      <c r="F13" s="36"/>
      <c r="G13" s="36"/>
      <c r="H13" s="36"/>
      <c r="I13" s="36"/>
      <c r="J13" s="36"/>
      <c r="K13" s="36"/>
      <c r="L13" s="36"/>
      <c r="M13" s="35">
        <v>2</v>
      </c>
    </row>
    <row r="14" spans="2:13" x14ac:dyDescent="0.3">
      <c r="B14" s="35">
        <v>10</v>
      </c>
      <c r="C14" s="56" t="s">
        <v>152</v>
      </c>
      <c r="D14" s="70" t="s">
        <v>100</v>
      </c>
      <c r="E14" s="70" t="s">
        <v>279</v>
      </c>
      <c r="F14" s="70" t="s">
        <v>280</v>
      </c>
      <c r="G14" s="69" t="s">
        <v>281</v>
      </c>
      <c r="H14" s="69" t="s">
        <v>282</v>
      </c>
      <c r="I14" s="36"/>
      <c r="J14" s="36"/>
      <c r="K14" s="36"/>
      <c r="L14" s="36"/>
      <c r="M14" s="35">
        <v>5</v>
      </c>
    </row>
    <row r="15" spans="2:13" x14ac:dyDescent="0.3">
      <c r="B15" s="35">
        <v>11</v>
      </c>
      <c r="C15" s="56" t="s">
        <v>153</v>
      </c>
      <c r="D15" s="71" t="s">
        <v>65</v>
      </c>
      <c r="E15" s="71" t="s">
        <v>244</v>
      </c>
      <c r="F15" s="69" t="s">
        <v>111</v>
      </c>
      <c r="G15" s="71" t="s">
        <v>341</v>
      </c>
      <c r="H15" s="36"/>
      <c r="I15" s="36"/>
      <c r="J15" s="36"/>
      <c r="K15" s="36"/>
      <c r="L15" s="36"/>
      <c r="M15" s="35">
        <v>4</v>
      </c>
    </row>
    <row r="16" spans="2:13" x14ac:dyDescent="0.3">
      <c r="B16" s="35">
        <v>12</v>
      </c>
      <c r="C16" s="56" t="s">
        <v>154</v>
      </c>
      <c r="D16" s="70" t="s">
        <v>240</v>
      </c>
      <c r="E16" s="69" t="s">
        <v>233</v>
      </c>
      <c r="F16" s="69" t="s">
        <v>241</v>
      </c>
      <c r="G16" s="72" t="s">
        <v>242</v>
      </c>
      <c r="H16" s="70" t="s">
        <v>370</v>
      </c>
      <c r="I16" s="36"/>
      <c r="J16" s="36"/>
      <c r="K16" s="36"/>
      <c r="L16" s="36"/>
      <c r="M16" s="35">
        <v>5</v>
      </c>
    </row>
    <row r="17" spans="2:13" x14ac:dyDescent="0.3">
      <c r="B17" s="35">
        <v>13</v>
      </c>
      <c r="C17" s="56" t="s">
        <v>155</v>
      </c>
      <c r="D17" s="69" t="s">
        <v>181</v>
      </c>
      <c r="E17" s="36"/>
      <c r="F17" s="36"/>
      <c r="G17" s="36"/>
      <c r="H17" s="36"/>
      <c r="I17" s="36"/>
      <c r="J17" s="36"/>
      <c r="K17" s="36"/>
      <c r="L17" s="36"/>
      <c r="M17" s="35">
        <v>1</v>
      </c>
    </row>
    <row r="18" spans="2:13" x14ac:dyDescent="0.3">
      <c r="B18" s="35">
        <v>14</v>
      </c>
      <c r="C18" s="56" t="s">
        <v>156</v>
      </c>
      <c r="D18" s="71" t="s">
        <v>276</v>
      </c>
      <c r="E18" s="71" t="s">
        <v>275</v>
      </c>
      <c r="F18" s="71" t="s">
        <v>339</v>
      </c>
      <c r="G18" s="71" t="s">
        <v>591</v>
      </c>
      <c r="H18" s="36"/>
      <c r="I18" s="36"/>
      <c r="J18" s="36"/>
      <c r="K18" s="36"/>
      <c r="L18" s="36"/>
      <c r="M18" s="35">
        <v>4</v>
      </c>
    </row>
    <row r="19" spans="2:13" x14ac:dyDescent="0.3">
      <c r="B19" s="35">
        <v>15</v>
      </c>
      <c r="C19" s="56" t="s">
        <v>157</v>
      </c>
      <c r="D19" s="70" t="s">
        <v>89</v>
      </c>
      <c r="E19" s="36"/>
      <c r="F19" s="36"/>
      <c r="G19" s="36"/>
      <c r="H19" s="36"/>
      <c r="I19" s="36"/>
      <c r="J19" s="36"/>
      <c r="K19" s="36"/>
      <c r="L19" s="36"/>
      <c r="M19" s="35">
        <v>1</v>
      </c>
    </row>
    <row r="20" spans="2:13" x14ac:dyDescent="0.3">
      <c r="B20" s="35">
        <v>16</v>
      </c>
      <c r="C20" s="56" t="s">
        <v>164</v>
      </c>
      <c r="D20" s="69" t="s">
        <v>85</v>
      </c>
      <c r="E20" s="36"/>
      <c r="F20" s="36"/>
      <c r="G20" s="36"/>
      <c r="H20" s="36"/>
      <c r="I20" s="36"/>
      <c r="J20" s="36"/>
      <c r="K20" s="36"/>
      <c r="L20" s="36"/>
      <c r="M20" s="35">
        <v>1</v>
      </c>
    </row>
    <row r="21" spans="2:13" x14ac:dyDescent="0.3">
      <c r="B21" s="35">
        <v>17</v>
      </c>
      <c r="C21" s="56" t="s">
        <v>170</v>
      </c>
      <c r="D21" s="69" t="s">
        <v>235</v>
      </c>
      <c r="E21" s="36"/>
      <c r="F21" s="36"/>
      <c r="G21" s="36"/>
      <c r="H21" s="36"/>
      <c r="I21" s="36"/>
      <c r="J21" s="36"/>
      <c r="K21" s="36"/>
      <c r="L21" s="36"/>
      <c r="M21" s="35">
        <v>1</v>
      </c>
    </row>
    <row r="22" spans="2:13" x14ac:dyDescent="0.3">
      <c r="B22" s="35">
        <v>18</v>
      </c>
      <c r="C22" s="56" t="s">
        <v>167</v>
      </c>
      <c r="D22" s="70" t="s">
        <v>97</v>
      </c>
      <c r="E22" s="36"/>
      <c r="F22" s="36"/>
      <c r="G22" s="36"/>
      <c r="H22" s="36"/>
      <c r="I22" s="36"/>
      <c r="J22" s="36"/>
      <c r="K22" s="36"/>
      <c r="L22" s="36"/>
      <c r="M22" s="35">
        <v>1</v>
      </c>
    </row>
    <row r="23" spans="2:13" x14ac:dyDescent="0.3">
      <c r="B23" s="35">
        <v>19</v>
      </c>
      <c r="C23" s="56" t="s">
        <v>165</v>
      </c>
      <c r="D23" s="69" t="s">
        <v>79</v>
      </c>
      <c r="E23" s="36"/>
      <c r="F23" s="36"/>
      <c r="G23" s="36"/>
      <c r="H23" s="36"/>
      <c r="I23" s="36"/>
      <c r="J23" s="36"/>
      <c r="K23" s="36"/>
      <c r="L23" s="36"/>
      <c r="M23" s="35">
        <v>1</v>
      </c>
    </row>
    <row r="24" spans="2:13" x14ac:dyDescent="0.3">
      <c r="B24" s="35">
        <v>20</v>
      </c>
      <c r="C24" s="56" t="s">
        <v>168</v>
      </c>
      <c r="D24" s="70" t="s">
        <v>245</v>
      </c>
      <c r="E24" s="70" t="s">
        <v>246</v>
      </c>
      <c r="F24" s="70" t="s">
        <v>247</v>
      </c>
      <c r="G24" s="36"/>
      <c r="H24" s="36"/>
      <c r="I24" s="36"/>
      <c r="J24" s="36"/>
      <c r="K24" s="36"/>
      <c r="L24" s="36"/>
      <c r="M24" s="35">
        <v>3</v>
      </c>
    </row>
    <row r="25" spans="2:13" x14ac:dyDescent="0.3">
      <c r="B25" s="35">
        <v>21</v>
      </c>
      <c r="C25" s="56" t="s">
        <v>461</v>
      </c>
      <c r="D25" s="69" t="s">
        <v>462</v>
      </c>
      <c r="E25" s="36"/>
      <c r="F25" s="36"/>
      <c r="G25" s="36"/>
      <c r="H25" s="36"/>
      <c r="I25" s="36"/>
      <c r="J25" s="36"/>
      <c r="K25" s="36"/>
      <c r="L25" s="36"/>
      <c r="M25" s="35">
        <v>1</v>
      </c>
    </row>
    <row r="26" spans="2:13" x14ac:dyDescent="0.3">
      <c r="B26" s="35">
        <v>22</v>
      </c>
      <c r="C26" s="56" t="s">
        <v>191</v>
      </c>
      <c r="D26" s="69" t="s">
        <v>262</v>
      </c>
      <c r="E26" s="69" t="s">
        <v>384</v>
      </c>
      <c r="F26" s="69" t="s">
        <v>355</v>
      </c>
      <c r="G26" s="36"/>
      <c r="H26" s="36"/>
      <c r="I26" s="36"/>
      <c r="J26" s="36"/>
      <c r="K26" s="36"/>
      <c r="L26" s="36"/>
      <c r="M26" s="35">
        <v>3</v>
      </c>
    </row>
    <row r="27" spans="2:13" x14ac:dyDescent="0.3">
      <c r="B27" s="35">
        <v>23</v>
      </c>
      <c r="C27" s="56" t="s">
        <v>195</v>
      </c>
      <c r="D27" s="72" t="s">
        <v>248</v>
      </c>
      <c r="E27" s="72" t="s">
        <v>194</v>
      </c>
      <c r="F27" s="36"/>
      <c r="G27" s="36"/>
      <c r="H27" s="36"/>
      <c r="I27" s="36"/>
      <c r="J27" s="36"/>
      <c r="K27" s="36"/>
      <c r="L27" s="36"/>
      <c r="M27" s="35">
        <v>2</v>
      </c>
    </row>
    <row r="28" spans="2:13" x14ac:dyDescent="0.3">
      <c r="B28" s="35">
        <v>24</v>
      </c>
      <c r="C28" s="56" t="s">
        <v>198</v>
      </c>
      <c r="D28" s="69" t="s">
        <v>232</v>
      </c>
      <c r="E28" s="69" t="s">
        <v>233</v>
      </c>
      <c r="F28" s="69" t="s">
        <v>234</v>
      </c>
      <c r="G28" s="36"/>
      <c r="H28" s="36"/>
      <c r="I28" s="36"/>
      <c r="J28" s="36"/>
      <c r="K28" s="36"/>
      <c r="L28" s="36"/>
      <c r="M28" s="35">
        <v>3</v>
      </c>
    </row>
    <row r="29" spans="2:13" x14ac:dyDescent="0.3">
      <c r="B29" s="35">
        <v>25</v>
      </c>
      <c r="C29" s="56" t="s">
        <v>159</v>
      </c>
      <c r="D29" s="69" t="s">
        <v>228</v>
      </c>
      <c r="E29" s="69" t="s">
        <v>229</v>
      </c>
      <c r="F29" s="69" t="s">
        <v>230</v>
      </c>
      <c r="G29" s="69" t="s">
        <v>231</v>
      </c>
      <c r="H29" s="36"/>
      <c r="I29" s="36"/>
      <c r="J29" s="36"/>
      <c r="K29" s="36"/>
      <c r="L29" s="36"/>
      <c r="M29" s="35">
        <v>4</v>
      </c>
    </row>
    <row r="30" spans="2:13" x14ac:dyDescent="0.3">
      <c r="B30" s="35">
        <v>26</v>
      </c>
      <c r="C30" s="56" t="s">
        <v>161</v>
      </c>
      <c r="D30" s="70" t="s">
        <v>361</v>
      </c>
      <c r="E30" s="70" t="s">
        <v>362</v>
      </c>
      <c r="F30" s="69" t="s">
        <v>47</v>
      </c>
      <c r="G30" s="69" t="s">
        <v>239</v>
      </c>
      <c r="H30" s="72" t="s">
        <v>45</v>
      </c>
      <c r="I30" s="70" t="s">
        <v>46</v>
      </c>
      <c r="J30" s="36"/>
      <c r="K30" s="36"/>
      <c r="L30" s="36"/>
      <c r="M30" s="35">
        <v>6</v>
      </c>
    </row>
    <row r="31" spans="2:13" x14ac:dyDescent="0.3">
      <c r="B31" s="35">
        <v>27</v>
      </c>
      <c r="C31" s="56" t="s">
        <v>570</v>
      </c>
      <c r="D31" s="70" t="s">
        <v>37</v>
      </c>
      <c r="E31" s="70" t="s">
        <v>39</v>
      </c>
      <c r="F31" s="70" t="s">
        <v>40</v>
      </c>
      <c r="G31" s="70" t="s">
        <v>270</v>
      </c>
      <c r="H31" s="70" t="s">
        <v>243</v>
      </c>
      <c r="I31" s="70" t="s">
        <v>269</v>
      </c>
      <c r="J31" s="36"/>
      <c r="K31" s="36"/>
      <c r="L31" s="36"/>
      <c r="M31" s="35">
        <v>6</v>
      </c>
    </row>
    <row r="32" spans="2:13" x14ac:dyDescent="0.3">
      <c r="B32" s="35">
        <v>28</v>
      </c>
      <c r="C32" s="56" t="s">
        <v>197</v>
      </c>
      <c r="D32" s="70" t="s">
        <v>257</v>
      </c>
      <c r="E32" s="70" t="s">
        <v>258</v>
      </c>
      <c r="F32" s="70" t="s">
        <v>259</v>
      </c>
      <c r="G32" s="69" t="s">
        <v>260</v>
      </c>
      <c r="H32" s="36"/>
      <c r="I32" s="36"/>
      <c r="J32" s="36"/>
      <c r="K32" s="36"/>
      <c r="L32" s="36"/>
      <c r="M32" s="35">
        <v>4</v>
      </c>
    </row>
    <row r="33" spans="2:13" x14ac:dyDescent="0.3">
      <c r="B33" s="35">
        <v>29</v>
      </c>
      <c r="C33" s="56" t="s">
        <v>583</v>
      </c>
      <c r="D33" s="69" t="s">
        <v>290</v>
      </c>
      <c r="E33" s="36"/>
      <c r="F33" s="36"/>
      <c r="G33" s="36"/>
      <c r="H33" s="36"/>
      <c r="I33" s="36"/>
      <c r="J33" s="36"/>
      <c r="K33" s="36"/>
      <c r="L33" s="36"/>
      <c r="M33" s="35">
        <v>1</v>
      </c>
    </row>
    <row r="34" spans="2:13" x14ac:dyDescent="0.3">
      <c r="B34" s="35">
        <v>30</v>
      </c>
      <c r="C34" s="56" t="s">
        <v>169</v>
      </c>
      <c r="D34" s="70" t="s">
        <v>250</v>
      </c>
      <c r="E34" s="70" t="s">
        <v>249</v>
      </c>
      <c r="F34" s="70" t="s">
        <v>251</v>
      </c>
      <c r="G34" s="70" t="s">
        <v>252</v>
      </c>
      <c r="H34" s="70" t="s">
        <v>253</v>
      </c>
      <c r="I34" s="36"/>
      <c r="J34" s="36"/>
      <c r="K34" s="36"/>
      <c r="L34" s="36"/>
      <c r="M34" s="35">
        <v>5</v>
      </c>
    </row>
    <row r="35" spans="2:13" x14ac:dyDescent="0.3">
      <c r="B35" s="35">
        <v>31</v>
      </c>
      <c r="C35" s="56" t="s">
        <v>225</v>
      </c>
      <c r="D35" s="70" t="s">
        <v>236</v>
      </c>
      <c r="E35" s="36"/>
      <c r="F35" s="36"/>
      <c r="G35" s="36"/>
      <c r="H35" s="36"/>
      <c r="I35" s="36"/>
      <c r="J35" s="36"/>
      <c r="K35" s="36"/>
      <c r="L35" s="36"/>
      <c r="M35" s="35">
        <v>1</v>
      </c>
    </row>
    <row r="36" spans="2:13" x14ac:dyDescent="0.3">
      <c r="B36" s="35">
        <v>32</v>
      </c>
      <c r="C36" s="56" t="s">
        <v>267</v>
      </c>
      <c r="D36" s="69" t="s">
        <v>288</v>
      </c>
      <c r="E36" s="70" t="s">
        <v>268</v>
      </c>
      <c r="F36" s="36"/>
      <c r="G36" s="36"/>
      <c r="H36" s="36"/>
      <c r="I36" s="36"/>
      <c r="J36" s="36"/>
      <c r="K36" s="36"/>
      <c r="L36" s="36"/>
      <c r="M36" s="35">
        <v>2</v>
      </c>
    </row>
    <row r="37" spans="2:13" x14ac:dyDescent="0.3">
      <c r="B37" s="35">
        <v>33</v>
      </c>
      <c r="C37" s="56" t="s">
        <v>315</v>
      </c>
      <c r="D37" s="69" t="s">
        <v>317</v>
      </c>
      <c r="E37" s="69" t="s">
        <v>318</v>
      </c>
      <c r="F37" s="36"/>
      <c r="G37" s="36"/>
      <c r="H37" s="36"/>
      <c r="I37" s="36"/>
      <c r="J37" s="36"/>
      <c r="K37" s="36"/>
      <c r="L37" s="36"/>
      <c r="M37" s="35">
        <v>2</v>
      </c>
    </row>
    <row r="38" spans="2:13" x14ac:dyDescent="0.3">
      <c r="B38" s="35">
        <v>34</v>
      </c>
      <c r="C38" s="56" t="s">
        <v>316</v>
      </c>
      <c r="D38" s="69" t="s">
        <v>319</v>
      </c>
      <c r="E38" s="36"/>
      <c r="F38" s="36"/>
      <c r="G38" s="36"/>
      <c r="H38" s="36"/>
      <c r="I38" s="36"/>
      <c r="J38" s="36"/>
      <c r="K38" s="36"/>
      <c r="L38" s="36"/>
      <c r="M38" s="35">
        <v>1</v>
      </c>
    </row>
    <row r="39" spans="2:13" x14ac:dyDescent="0.3">
      <c r="B39" s="35">
        <v>35</v>
      </c>
      <c r="C39" s="56" t="s">
        <v>348</v>
      </c>
      <c r="D39" s="69" t="s">
        <v>351</v>
      </c>
      <c r="E39" s="36"/>
      <c r="F39" s="36"/>
      <c r="G39" s="36"/>
      <c r="H39" s="36"/>
      <c r="I39" s="36"/>
      <c r="J39" s="36"/>
      <c r="K39" s="36"/>
      <c r="L39" s="36"/>
      <c r="M39" s="35">
        <v>1</v>
      </c>
    </row>
    <row r="40" spans="2:13" x14ac:dyDescent="0.3">
      <c r="B40" s="35">
        <v>36</v>
      </c>
      <c r="C40" s="56" t="s">
        <v>353</v>
      </c>
      <c r="D40" s="70" t="s">
        <v>385</v>
      </c>
      <c r="E40" s="69" t="s">
        <v>386</v>
      </c>
      <c r="F40" s="69" t="s">
        <v>431</v>
      </c>
      <c r="G40" s="36"/>
      <c r="H40" s="36"/>
      <c r="I40" s="36"/>
      <c r="J40" s="36"/>
      <c r="K40" s="36"/>
      <c r="L40" s="36"/>
      <c r="M40" s="35">
        <v>3</v>
      </c>
    </row>
    <row r="41" spans="2:13" x14ac:dyDescent="0.3">
      <c r="B41" s="35">
        <v>37</v>
      </c>
      <c r="C41" s="92" t="s">
        <v>390</v>
      </c>
      <c r="D41" s="69" t="s">
        <v>400</v>
      </c>
      <c r="E41" s="69" t="s">
        <v>417</v>
      </c>
      <c r="F41" s="70" t="s">
        <v>402</v>
      </c>
      <c r="G41" s="70" t="s">
        <v>403</v>
      </c>
      <c r="H41" s="36"/>
      <c r="I41" s="36"/>
      <c r="J41" s="36"/>
      <c r="K41" s="36"/>
      <c r="L41" s="36"/>
      <c r="M41" s="35">
        <v>4</v>
      </c>
    </row>
    <row r="42" spans="2:13" x14ac:dyDescent="0.3">
      <c r="B42" s="35">
        <v>38</v>
      </c>
      <c r="C42" s="92" t="s">
        <v>419</v>
      </c>
      <c r="D42" s="69" t="s">
        <v>420</v>
      </c>
      <c r="E42" s="95" t="s">
        <v>421</v>
      </c>
      <c r="F42" s="69" t="s">
        <v>424</v>
      </c>
      <c r="G42" s="36"/>
      <c r="H42" s="36"/>
      <c r="I42" s="36"/>
      <c r="J42" s="36"/>
      <c r="K42" s="36"/>
      <c r="L42" s="36"/>
      <c r="M42" s="35">
        <v>3</v>
      </c>
    </row>
    <row r="43" spans="2:13" ht="17.399999999999999" x14ac:dyDescent="0.3">
      <c r="B43" s="35">
        <v>39</v>
      </c>
      <c r="C43" s="56" t="s">
        <v>467</v>
      </c>
      <c r="D43" s="69" t="s">
        <v>466</v>
      </c>
      <c r="E43" s="70" t="s">
        <v>523</v>
      </c>
      <c r="F43" s="150" t="s">
        <v>547</v>
      </c>
      <c r="G43" s="36"/>
      <c r="H43" s="51"/>
      <c r="I43" s="36"/>
      <c r="J43" s="36"/>
      <c r="K43" s="36"/>
      <c r="L43" s="36"/>
      <c r="M43" s="96">
        <v>3</v>
      </c>
    </row>
    <row r="44" spans="2:13" ht="17.399999999999999" x14ac:dyDescent="0.3">
      <c r="B44" s="35">
        <v>40</v>
      </c>
      <c r="C44" s="56" t="s">
        <v>468</v>
      </c>
      <c r="D44" s="69" t="s">
        <v>474</v>
      </c>
      <c r="E44" s="69" t="s">
        <v>495</v>
      </c>
      <c r="F44" s="69" t="s">
        <v>496</v>
      </c>
      <c r="G44" s="36"/>
      <c r="H44" s="51"/>
      <c r="I44" s="36"/>
      <c r="J44" s="36"/>
      <c r="K44" s="123"/>
      <c r="L44" s="123"/>
      <c r="M44" s="112">
        <v>3</v>
      </c>
    </row>
    <row r="45" spans="2:13" x14ac:dyDescent="0.3">
      <c r="B45" s="35">
        <v>41</v>
      </c>
      <c r="C45" s="122" t="s">
        <v>480</v>
      </c>
      <c r="D45" s="70" t="s">
        <v>482</v>
      </c>
      <c r="E45" s="51"/>
      <c r="F45" s="51"/>
      <c r="G45" s="51"/>
      <c r="H45" s="51"/>
      <c r="I45" s="36"/>
      <c r="J45" s="36"/>
      <c r="K45" s="36"/>
      <c r="L45" s="36"/>
      <c r="M45" s="35">
        <v>1</v>
      </c>
    </row>
    <row r="46" spans="2:13" ht="17.399999999999999" x14ac:dyDescent="0.3">
      <c r="B46" s="35">
        <v>42</v>
      </c>
      <c r="C46" s="122" t="s">
        <v>483</v>
      </c>
      <c r="D46" s="70" t="s">
        <v>57</v>
      </c>
      <c r="E46" s="36"/>
      <c r="F46" s="36"/>
      <c r="G46" s="36"/>
      <c r="H46" s="51"/>
      <c r="I46" s="36"/>
      <c r="J46" s="36"/>
      <c r="K46" s="36"/>
      <c r="L46" s="36"/>
      <c r="M46" s="96">
        <v>1</v>
      </c>
    </row>
    <row r="47" spans="2:13" ht="17.399999999999999" x14ac:dyDescent="0.3">
      <c r="B47" s="35">
        <v>43</v>
      </c>
      <c r="C47" s="56" t="s">
        <v>494</v>
      </c>
      <c r="D47" s="69" t="s">
        <v>487</v>
      </c>
      <c r="E47" s="69" t="s">
        <v>488</v>
      </c>
      <c r="F47" s="36"/>
      <c r="G47" s="36"/>
      <c r="H47" s="51"/>
      <c r="I47" s="36"/>
      <c r="J47" s="36"/>
      <c r="K47" s="36"/>
      <c r="L47" s="36"/>
      <c r="M47" s="96">
        <v>2</v>
      </c>
    </row>
    <row r="48" spans="2:13" ht="17.399999999999999" x14ac:dyDescent="0.3">
      <c r="B48" s="35">
        <v>44</v>
      </c>
      <c r="C48" s="56" t="s">
        <v>510</v>
      </c>
      <c r="D48" s="138" t="s">
        <v>499</v>
      </c>
      <c r="E48" s="138" t="s">
        <v>500</v>
      </c>
      <c r="F48" s="69" t="s">
        <v>501</v>
      </c>
      <c r="G48" s="69" t="s">
        <v>502</v>
      </c>
      <c r="H48" s="69" t="s">
        <v>503</v>
      </c>
      <c r="I48" s="69" t="s">
        <v>504</v>
      </c>
      <c r="J48" s="69" t="s">
        <v>505</v>
      </c>
      <c r="K48" s="69" t="s">
        <v>508</v>
      </c>
      <c r="L48" s="69" t="s">
        <v>509</v>
      </c>
      <c r="M48" s="96">
        <v>10</v>
      </c>
    </row>
    <row r="49" spans="2:13" ht="17.399999999999999" x14ac:dyDescent="0.3">
      <c r="B49" s="35">
        <v>45</v>
      </c>
      <c r="C49" s="56" t="s">
        <v>511</v>
      </c>
      <c r="D49" s="138" t="s">
        <v>512</v>
      </c>
      <c r="E49" s="140"/>
      <c r="F49" s="36"/>
      <c r="G49" s="36"/>
      <c r="H49" s="51"/>
      <c r="I49" s="36"/>
      <c r="J49" s="36"/>
      <c r="K49" s="36"/>
      <c r="L49" s="36"/>
      <c r="M49" s="96">
        <v>1</v>
      </c>
    </row>
    <row r="50" spans="2:13" ht="17.399999999999999" x14ac:dyDescent="0.3">
      <c r="B50" s="35">
        <v>46</v>
      </c>
      <c r="C50" s="56" t="s">
        <v>515</v>
      </c>
      <c r="D50" s="69" t="s">
        <v>522</v>
      </c>
      <c r="E50" s="70" t="s">
        <v>521</v>
      </c>
      <c r="F50" s="36"/>
      <c r="G50" s="36"/>
      <c r="H50" s="51"/>
      <c r="I50" s="36"/>
      <c r="J50" s="36"/>
      <c r="K50" s="36"/>
      <c r="L50" s="36"/>
      <c r="M50" s="96">
        <v>2</v>
      </c>
    </row>
    <row r="51" spans="2:13" ht="17.399999999999999" x14ac:dyDescent="0.3">
      <c r="B51" s="35">
        <v>47</v>
      </c>
      <c r="C51" s="56" t="s">
        <v>541</v>
      </c>
      <c r="D51" s="69" t="s">
        <v>542</v>
      </c>
      <c r="E51" s="69" t="s">
        <v>543</v>
      </c>
      <c r="F51" s="69" t="s">
        <v>544</v>
      </c>
      <c r="G51" s="69" t="s">
        <v>545</v>
      </c>
      <c r="H51" s="70" t="s">
        <v>546</v>
      </c>
      <c r="I51" s="36"/>
      <c r="J51" s="36"/>
      <c r="K51" s="36"/>
      <c r="L51" s="36"/>
      <c r="M51" s="96">
        <v>7</v>
      </c>
    </row>
    <row r="52" spans="2:13" ht="17.399999999999999" x14ac:dyDescent="0.3">
      <c r="B52" s="35">
        <v>48</v>
      </c>
      <c r="C52" s="56" t="s">
        <v>567</v>
      </c>
      <c r="D52" s="71" t="s">
        <v>569</v>
      </c>
      <c r="E52" s="140"/>
      <c r="F52" s="36"/>
      <c r="G52" s="36"/>
      <c r="H52" s="36"/>
      <c r="I52" s="36"/>
      <c r="J52" s="36"/>
      <c r="K52" s="36"/>
      <c r="L52" s="36"/>
      <c r="M52" s="96">
        <v>1</v>
      </c>
    </row>
    <row r="53" spans="2:13" ht="17.399999999999999" x14ac:dyDescent="0.3">
      <c r="B53" s="35">
        <v>49</v>
      </c>
      <c r="C53" s="56" t="s">
        <v>611</v>
      </c>
      <c r="D53" s="69" t="s">
        <v>623</v>
      </c>
      <c r="E53" s="140"/>
      <c r="F53" s="36"/>
      <c r="G53" s="36"/>
      <c r="H53" s="36"/>
      <c r="I53" s="36"/>
      <c r="J53" s="36"/>
      <c r="K53" s="36"/>
      <c r="L53" s="36"/>
      <c r="M53" s="96">
        <v>1</v>
      </c>
    </row>
    <row r="54" spans="2:13" ht="17.399999999999999" x14ac:dyDescent="0.3">
      <c r="B54" s="35">
        <v>50</v>
      </c>
      <c r="C54" s="56" t="s">
        <v>610</v>
      </c>
      <c r="D54" s="70" t="s">
        <v>615</v>
      </c>
      <c r="E54" s="150" t="s">
        <v>616</v>
      </c>
      <c r="F54" s="36"/>
      <c r="G54" s="36"/>
      <c r="H54" s="36"/>
      <c r="I54" s="36"/>
      <c r="J54" s="36"/>
      <c r="K54" s="36"/>
      <c r="L54" s="36"/>
      <c r="M54" s="96">
        <v>2</v>
      </c>
    </row>
    <row r="55" spans="2:13" ht="18" thickBot="1" x14ac:dyDescent="0.35">
      <c r="D55" s="209" t="s">
        <v>352</v>
      </c>
      <c r="E55" s="209"/>
      <c r="M55" s="124">
        <f>SUM(M5:M54)</f>
        <v>133</v>
      </c>
    </row>
  </sheetData>
  <mergeCells count="2">
    <mergeCell ref="D55:E55"/>
    <mergeCell ref="B2:M2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D9FD-A68A-4F70-AA63-EF8306B14FDF}">
  <dimension ref="B3:I15"/>
  <sheetViews>
    <sheetView zoomScaleNormal="100" workbookViewId="0">
      <selection activeCell="A7" sqref="A7:XFD7"/>
    </sheetView>
  </sheetViews>
  <sheetFormatPr defaultRowHeight="14.4" x14ac:dyDescent="0.3"/>
  <cols>
    <col min="3" max="3" width="18.6640625" customWidth="1"/>
    <col min="4" max="4" width="13.109375" customWidth="1"/>
    <col min="5" max="5" width="12.5546875" customWidth="1"/>
    <col min="7" max="7" width="10.88671875" customWidth="1"/>
    <col min="8" max="8" width="11.88671875" customWidth="1"/>
    <col min="9" max="9" width="11.44140625" customWidth="1"/>
  </cols>
  <sheetData>
    <row r="3" spans="2:9" ht="15.6" x14ac:dyDescent="0.3">
      <c r="B3" s="225" t="s">
        <v>199</v>
      </c>
      <c r="C3" s="225"/>
      <c r="D3" s="225"/>
      <c r="E3" s="225"/>
      <c r="F3" s="225"/>
      <c r="G3" s="225"/>
      <c r="H3" s="225"/>
      <c r="I3" s="225"/>
    </row>
    <row r="4" spans="2:9" ht="15" x14ac:dyDescent="0.3">
      <c r="B4" s="50"/>
    </row>
    <row r="5" spans="2:9" ht="60" x14ac:dyDescent="0.3">
      <c r="B5" s="73" t="s">
        <v>200</v>
      </c>
      <c r="C5" s="74" t="s">
        <v>1</v>
      </c>
      <c r="D5" s="74" t="s">
        <v>201</v>
      </c>
      <c r="E5" s="74" t="s">
        <v>202</v>
      </c>
      <c r="F5" s="74" t="s">
        <v>203</v>
      </c>
      <c r="G5" s="74" t="s">
        <v>204</v>
      </c>
      <c r="H5" s="74" t="s">
        <v>205</v>
      </c>
      <c r="I5" s="74" t="s">
        <v>206</v>
      </c>
    </row>
    <row r="6" spans="2:9" ht="15" x14ac:dyDescent="0.3">
      <c r="B6" s="7">
        <v>1</v>
      </c>
      <c r="C6" s="75" t="s">
        <v>321</v>
      </c>
      <c r="D6" s="7" t="s">
        <v>207</v>
      </c>
      <c r="E6" s="7" t="s">
        <v>207</v>
      </c>
      <c r="F6" s="7" t="s">
        <v>207</v>
      </c>
      <c r="G6" s="7" t="s">
        <v>207</v>
      </c>
      <c r="H6" s="7" t="s">
        <v>207</v>
      </c>
      <c r="I6" s="7" t="s">
        <v>207</v>
      </c>
    </row>
    <row r="7" spans="2:9" ht="15" x14ac:dyDescent="0.3">
      <c r="B7" s="7">
        <v>3</v>
      </c>
      <c r="C7" s="75" t="s">
        <v>322</v>
      </c>
      <c r="D7" s="7"/>
      <c r="E7" s="7"/>
      <c r="F7" s="7" t="s">
        <v>207</v>
      </c>
      <c r="G7" s="7"/>
      <c r="H7" s="7"/>
      <c r="I7" s="7"/>
    </row>
    <row r="8" spans="2:9" ht="15" x14ac:dyDescent="0.3">
      <c r="B8" s="7">
        <v>4</v>
      </c>
      <c r="C8" s="75" t="s">
        <v>161</v>
      </c>
      <c r="D8" s="7"/>
      <c r="E8" s="7" t="s">
        <v>207</v>
      </c>
      <c r="F8" s="7"/>
      <c r="G8" s="7"/>
      <c r="H8" s="7"/>
      <c r="I8" s="7"/>
    </row>
    <row r="10" spans="2:9" ht="15.6" x14ac:dyDescent="0.3">
      <c r="D10" s="226" t="s">
        <v>439</v>
      </c>
      <c r="E10" s="226"/>
    </row>
    <row r="11" spans="2:9" ht="34.200000000000003" customHeight="1" x14ac:dyDescent="0.3">
      <c r="B11" s="73" t="s">
        <v>0</v>
      </c>
      <c r="C11" s="73" t="s">
        <v>320</v>
      </c>
      <c r="D11" s="73" t="s">
        <v>324</v>
      </c>
      <c r="E11" s="73" t="s">
        <v>325</v>
      </c>
      <c r="F11" s="73" t="s">
        <v>330</v>
      </c>
    </row>
    <row r="12" spans="2:9" ht="15.6" x14ac:dyDescent="0.3">
      <c r="B12" s="7">
        <v>1</v>
      </c>
      <c r="C12" s="52" t="s">
        <v>323</v>
      </c>
      <c r="D12" s="52">
        <v>8928911896</v>
      </c>
      <c r="E12" s="7" t="s">
        <v>326</v>
      </c>
      <c r="F12" s="36" t="s">
        <v>331</v>
      </c>
      <c r="G12" s="227" t="s">
        <v>551</v>
      </c>
      <c r="H12" s="228"/>
      <c r="I12" s="228"/>
    </row>
    <row r="13" spans="2:9" ht="15.6" x14ac:dyDescent="0.3">
      <c r="B13" s="7">
        <v>2</v>
      </c>
      <c r="C13" s="52" t="s">
        <v>327</v>
      </c>
      <c r="D13" s="52">
        <v>9665990888</v>
      </c>
      <c r="E13" s="7" t="s">
        <v>329</v>
      </c>
      <c r="F13" s="36" t="s">
        <v>331</v>
      </c>
    </row>
    <row r="14" spans="2:9" ht="15.6" x14ac:dyDescent="0.3">
      <c r="B14" s="7">
        <v>3</v>
      </c>
      <c r="C14" s="52" t="s">
        <v>328</v>
      </c>
      <c r="D14" s="52">
        <v>9822791818</v>
      </c>
      <c r="E14" s="7" t="s">
        <v>550</v>
      </c>
      <c r="F14" s="36" t="s">
        <v>331</v>
      </c>
      <c r="G14" t="s">
        <v>513</v>
      </c>
    </row>
    <row r="15" spans="2:9" ht="15" x14ac:dyDescent="0.3">
      <c r="B15" s="7">
        <v>4</v>
      </c>
      <c r="C15" s="52" t="s">
        <v>514</v>
      </c>
      <c r="D15" s="52"/>
      <c r="E15" s="52"/>
      <c r="F15" s="51"/>
    </row>
  </sheetData>
  <mergeCells count="3">
    <mergeCell ref="B3:I3"/>
    <mergeCell ref="D10:E10"/>
    <mergeCell ref="G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65EA-18EB-457F-9801-F3646E48BEB9}">
  <sheetPr>
    <pageSetUpPr fitToPage="1"/>
  </sheetPr>
  <dimension ref="A1:J83"/>
  <sheetViews>
    <sheetView topLeftCell="A62" workbookViewId="0">
      <selection activeCell="E81" sqref="E81"/>
    </sheetView>
  </sheetViews>
  <sheetFormatPr defaultColWidth="9.109375" defaultRowHeight="15" x14ac:dyDescent="0.3"/>
  <cols>
    <col min="1" max="1" width="7.44140625" style="1" bestFit="1" customWidth="1"/>
    <col min="2" max="2" width="80.21875" style="41" customWidth="1"/>
    <col min="3" max="3" width="15.6640625" style="1" customWidth="1"/>
    <col min="4" max="4" width="16.88671875" style="41" bestFit="1" customWidth="1"/>
    <col min="5" max="5" width="21.6640625" style="40" bestFit="1" customWidth="1"/>
    <col min="6" max="6" width="10.5546875" style="1" customWidth="1"/>
    <col min="7" max="7" width="11.77734375" style="1" customWidth="1"/>
    <col min="8" max="8" width="19.109375" style="1" customWidth="1"/>
    <col min="9" max="9" width="10.6640625" style="1" bestFit="1" customWidth="1"/>
    <col min="10" max="10" width="22.44140625" style="1" customWidth="1"/>
    <col min="11" max="16384" width="9.109375" style="40"/>
  </cols>
  <sheetData>
    <row r="1" spans="1:10" s="42" customFormat="1" ht="18" customHeight="1" x14ac:dyDescent="0.3">
      <c r="A1" s="234" t="s">
        <v>0</v>
      </c>
      <c r="B1" s="234" t="s">
        <v>3</v>
      </c>
      <c r="C1" s="229" t="s">
        <v>190</v>
      </c>
      <c r="D1" s="235" t="s">
        <v>4</v>
      </c>
      <c r="E1" s="234" t="s">
        <v>1</v>
      </c>
      <c r="F1" s="234" t="s">
        <v>158</v>
      </c>
      <c r="G1" s="234"/>
      <c r="H1" s="234"/>
      <c r="I1" s="234"/>
      <c r="J1" s="229" t="s">
        <v>184</v>
      </c>
    </row>
    <row r="2" spans="1:10" s="42" customFormat="1" ht="38.25" customHeight="1" x14ac:dyDescent="0.3">
      <c r="A2" s="234"/>
      <c r="B2" s="234"/>
      <c r="C2" s="230"/>
      <c r="D2" s="235"/>
      <c r="E2" s="234"/>
      <c r="F2" s="39" t="s">
        <v>13</v>
      </c>
      <c r="G2" s="39" t="s">
        <v>14</v>
      </c>
      <c r="H2" s="39" t="s">
        <v>15</v>
      </c>
      <c r="I2" s="38" t="s">
        <v>272</v>
      </c>
      <c r="J2" s="230"/>
    </row>
    <row r="3" spans="1:10" x14ac:dyDescent="0.3">
      <c r="A3" s="43">
        <v>1</v>
      </c>
      <c r="B3" s="37" t="s">
        <v>51</v>
      </c>
      <c r="C3" s="5"/>
      <c r="D3" s="37" t="s">
        <v>88</v>
      </c>
      <c r="E3" s="44" t="s">
        <v>159</v>
      </c>
      <c r="F3" s="45">
        <v>3</v>
      </c>
      <c r="G3" s="45">
        <v>6</v>
      </c>
      <c r="H3" s="45">
        <v>4</v>
      </c>
      <c r="I3" s="45"/>
      <c r="J3" s="47">
        <f>SUM(F3:I3)</f>
        <v>13</v>
      </c>
    </row>
    <row r="4" spans="1:10" x14ac:dyDescent="0.3">
      <c r="A4" s="43">
        <v>2</v>
      </c>
      <c r="B4" s="37" t="s">
        <v>52</v>
      </c>
      <c r="C4" s="5"/>
      <c r="D4" s="37" t="s">
        <v>88</v>
      </c>
      <c r="E4" s="44" t="s">
        <v>159</v>
      </c>
      <c r="F4" s="45">
        <v>1</v>
      </c>
      <c r="G4" s="45">
        <v>1</v>
      </c>
      <c r="H4" s="45">
        <v>1</v>
      </c>
      <c r="I4" s="45"/>
      <c r="J4" s="47">
        <f t="shared" ref="J4:J69" si="0">SUM(F4:I4)</f>
        <v>3</v>
      </c>
    </row>
    <row r="5" spans="1:10" x14ac:dyDescent="0.3">
      <c r="A5" s="43">
        <v>3</v>
      </c>
      <c r="B5" s="37" t="s">
        <v>53</v>
      </c>
      <c r="C5" s="5"/>
      <c r="D5" s="37" t="s">
        <v>88</v>
      </c>
      <c r="E5" s="44" t="s">
        <v>159</v>
      </c>
      <c r="F5" s="45">
        <v>2</v>
      </c>
      <c r="G5" s="45">
        <v>3</v>
      </c>
      <c r="H5" s="45">
        <v>1</v>
      </c>
      <c r="I5" s="45">
        <v>1</v>
      </c>
      <c r="J5" s="47">
        <f t="shared" si="0"/>
        <v>7</v>
      </c>
    </row>
    <row r="6" spans="1:10" x14ac:dyDescent="0.3">
      <c r="A6" s="43">
        <v>4</v>
      </c>
      <c r="B6" s="37" t="s">
        <v>50</v>
      </c>
      <c r="C6" s="5"/>
      <c r="D6" s="37" t="s">
        <v>88</v>
      </c>
      <c r="E6" s="44" t="s">
        <v>160</v>
      </c>
      <c r="F6" s="45">
        <v>1</v>
      </c>
      <c r="G6" s="45">
        <v>3</v>
      </c>
      <c r="H6" s="45">
        <v>1</v>
      </c>
      <c r="I6" s="45">
        <v>1</v>
      </c>
      <c r="J6" s="47">
        <f t="shared" si="0"/>
        <v>6</v>
      </c>
    </row>
    <row r="7" spans="1:10" x14ac:dyDescent="0.3">
      <c r="A7" s="43">
        <v>5</v>
      </c>
      <c r="B7" s="37" t="s">
        <v>58</v>
      </c>
      <c r="C7" s="5"/>
      <c r="D7" s="37" t="s">
        <v>38</v>
      </c>
      <c r="E7" s="44" t="s">
        <v>160</v>
      </c>
      <c r="F7" s="45">
        <v>1</v>
      </c>
      <c r="G7" s="45">
        <v>1</v>
      </c>
      <c r="H7" s="45"/>
      <c r="I7" s="45"/>
      <c r="J7" s="47">
        <f t="shared" si="0"/>
        <v>2</v>
      </c>
    </row>
    <row r="8" spans="1:10" x14ac:dyDescent="0.3">
      <c r="A8" s="43">
        <v>6</v>
      </c>
      <c r="B8" s="37" t="s">
        <v>55</v>
      </c>
      <c r="C8" s="5"/>
      <c r="D8" s="37" t="s">
        <v>88</v>
      </c>
      <c r="E8" s="44" t="s">
        <v>160</v>
      </c>
      <c r="F8" s="45">
        <v>2</v>
      </c>
      <c r="G8" s="45">
        <v>3</v>
      </c>
      <c r="H8" s="45">
        <v>2</v>
      </c>
      <c r="I8" s="45">
        <v>1</v>
      </c>
      <c r="J8" s="47">
        <f t="shared" si="0"/>
        <v>8</v>
      </c>
    </row>
    <row r="9" spans="1:10" x14ac:dyDescent="0.3">
      <c r="A9" s="43">
        <v>7</v>
      </c>
      <c r="B9" s="37" t="s">
        <v>56</v>
      </c>
      <c r="C9" s="5"/>
      <c r="D9" s="37" t="s">
        <v>57</v>
      </c>
      <c r="E9" s="44" t="s">
        <v>160</v>
      </c>
      <c r="F9" s="45">
        <v>4</v>
      </c>
      <c r="G9" s="45">
        <v>5</v>
      </c>
      <c r="H9" s="45">
        <v>2</v>
      </c>
      <c r="I9" s="45">
        <v>1</v>
      </c>
      <c r="J9" s="47">
        <f t="shared" si="0"/>
        <v>12</v>
      </c>
    </row>
    <row r="10" spans="1:10" x14ac:dyDescent="0.3">
      <c r="A10" s="43">
        <v>8</v>
      </c>
      <c r="B10" s="37" t="s">
        <v>208</v>
      </c>
      <c r="C10" s="5"/>
      <c r="D10" s="37" t="s">
        <v>88</v>
      </c>
      <c r="E10" s="44" t="s">
        <v>161</v>
      </c>
      <c r="F10" s="45">
        <v>2</v>
      </c>
      <c r="G10" s="45">
        <v>3</v>
      </c>
      <c r="H10" s="45">
        <v>1</v>
      </c>
      <c r="I10" s="45"/>
      <c r="J10" s="47">
        <f t="shared" si="0"/>
        <v>6</v>
      </c>
    </row>
    <row r="11" spans="1:10" x14ac:dyDescent="0.3">
      <c r="A11" s="43">
        <v>9</v>
      </c>
      <c r="B11" s="37" t="s">
        <v>45</v>
      </c>
      <c r="C11" s="5"/>
      <c r="D11" s="37" t="s">
        <v>38</v>
      </c>
      <c r="E11" s="44" t="s">
        <v>161</v>
      </c>
      <c r="F11" s="45">
        <v>5</v>
      </c>
      <c r="G11" s="45">
        <v>8</v>
      </c>
      <c r="H11" s="45">
        <v>3</v>
      </c>
      <c r="I11" s="45">
        <v>1</v>
      </c>
      <c r="J11" s="47">
        <f t="shared" si="0"/>
        <v>17</v>
      </c>
    </row>
    <row r="12" spans="1:10" x14ac:dyDescent="0.3">
      <c r="A12" s="43">
        <v>10</v>
      </c>
      <c r="B12" s="37" t="s">
        <v>48</v>
      </c>
      <c r="C12" s="5" t="s">
        <v>190</v>
      </c>
      <c r="D12" s="37" t="s">
        <v>38</v>
      </c>
      <c r="E12" s="44" t="s">
        <v>161</v>
      </c>
      <c r="F12" s="45">
        <v>3</v>
      </c>
      <c r="G12" s="45">
        <v>4</v>
      </c>
      <c r="H12" s="45">
        <v>2</v>
      </c>
      <c r="I12" s="45">
        <v>1</v>
      </c>
      <c r="J12" s="47">
        <f t="shared" si="0"/>
        <v>10</v>
      </c>
    </row>
    <row r="13" spans="1:10" x14ac:dyDescent="0.3">
      <c r="A13" s="43">
        <v>11</v>
      </c>
      <c r="B13" s="37" t="s">
        <v>46</v>
      </c>
      <c r="C13" s="5"/>
      <c r="D13" s="37" t="s">
        <v>38</v>
      </c>
      <c r="E13" s="44" t="s">
        <v>161</v>
      </c>
      <c r="F13" s="45">
        <v>2</v>
      </c>
      <c r="G13" s="45">
        <v>5</v>
      </c>
      <c r="H13" s="45">
        <v>1</v>
      </c>
      <c r="I13" s="45"/>
      <c r="J13" s="47">
        <f t="shared" si="0"/>
        <v>8</v>
      </c>
    </row>
    <row r="14" spans="1:10" x14ac:dyDescent="0.3">
      <c r="A14" s="43">
        <v>12</v>
      </c>
      <c r="B14" s="37" t="s">
        <v>47</v>
      </c>
      <c r="C14" s="5"/>
      <c r="D14" s="37" t="s">
        <v>88</v>
      </c>
      <c r="E14" s="44" t="s">
        <v>161</v>
      </c>
      <c r="F14" s="45">
        <v>3</v>
      </c>
      <c r="G14" s="45">
        <v>4</v>
      </c>
      <c r="H14" s="45">
        <v>2</v>
      </c>
      <c r="I14" s="45">
        <v>1</v>
      </c>
      <c r="J14" s="47">
        <f t="shared" si="0"/>
        <v>10</v>
      </c>
    </row>
    <row r="15" spans="1:10" x14ac:dyDescent="0.3">
      <c r="A15" s="43">
        <v>13</v>
      </c>
      <c r="B15" s="37" t="s">
        <v>105</v>
      </c>
      <c r="C15" s="5"/>
      <c r="D15" s="37" t="s">
        <v>38</v>
      </c>
      <c r="E15" s="44" t="s">
        <v>148</v>
      </c>
      <c r="F15" s="45">
        <v>4</v>
      </c>
      <c r="G15" s="45">
        <v>7</v>
      </c>
      <c r="H15" s="45">
        <v>3</v>
      </c>
      <c r="I15" s="45">
        <v>1</v>
      </c>
      <c r="J15" s="47">
        <f t="shared" si="0"/>
        <v>15</v>
      </c>
    </row>
    <row r="16" spans="1:10" x14ac:dyDescent="0.3">
      <c r="A16" s="43">
        <v>14</v>
      </c>
      <c r="B16" s="37" t="s">
        <v>139</v>
      </c>
      <c r="C16" s="5"/>
      <c r="D16" s="37" t="s">
        <v>38</v>
      </c>
      <c r="E16" s="44" t="s">
        <v>148</v>
      </c>
      <c r="F16" s="45">
        <v>4</v>
      </c>
      <c r="G16" s="45">
        <v>7</v>
      </c>
      <c r="H16" s="45">
        <v>3</v>
      </c>
      <c r="I16" s="45">
        <v>1</v>
      </c>
      <c r="J16" s="47">
        <f t="shared" si="0"/>
        <v>15</v>
      </c>
    </row>
    <row r="17" spans="1:10" x14ac:dyDescent="0.3">
      <c r="A17" s="43">
        <v>15</v>
      </c>
      <c r="B17" s="37" t="s">
        <v>90</v>
      </c>
      <c r="C17" s="5"/>
      <c r="D17" s="37" t="s">
        <v>38</v>
      </c>
      <c r="E17" s="44" t="s">
        <v>148</v>
      </c>
      <c r="F17" s="45">
        <v>4</v>
      </c>
      <c r="G17" s="45">
        <v>7</v>
      </c>
      <c r="H17" s="45">
        <v>3</v>
      </c>
      <c r="I17" s="45">
        <v>1</v>
      </c>
      <c r="J17" s="47">
        <f t="shared" si="0"/>
        <v>15</v>
      </c>
    </row>
    <row r="18" spans="1:10" x14ac:dyDescent="0.3">
      <c r="A18" s="43">
        <v>16</v>
      </c>
      <c r="B18" s="37" t="s">
        <v>94</v>
      </c>
      <c r="C18" s="5"/>
      <c r="D18" s="37" t="s">
        <v>88</v>
      </c>
      <c r="E18" s="44" t="s">
        <v>162</v>
      </c>
      <c r="F18" s="45">
        <v>2</v>
      </c>
      <c r="G18" s="45">
        <v>2</v>
      </c>
      <c r="H18" s="45">
        <v>1</v>
      </c>
      <c r="I18" s="45"/>
      <c r="J18" s="47">
        <f t="shared" si="0"/>
        <v>5</v>
      </c>
    </row>
    <row r="19" spans="1:10" x14ac:dyDescent="0.3">
      <c r="A19" s="43">
        <v>17</v>
      </c>
      <c r="B19" s="37" t="s">
        <v>84</v>
      </c>
      <c r="C19" s="5"/>
      <c r="D19" s="37" t="s">
        <v>38</v>
      </c>
      <c r="E19" s="44" t="s">
        <v>163</v>
      </c>
      <c r="F19" s="45"/>
      <c r="G19" s="45">
        <v>5</v>
      </c>
      <c r="H19" s="45"/>
      <c r="I19" s="45"/>
      <c r="J19" s="47">
        <f t="shared" si="0"/>
        <v>5</v>
      </c>
    </row>
    <row r="20" spans="1:10" x14ac:dyDescent="0.3">
      <c r="A20" s="43">
        <v>18</v>
      </c>
      <c r="B20" s="37" t="s">
        <v>85</v>
      </c>
      <c r="C20" s="5"/>
      <c r="D20" s="37" t="s">
        <v>88</v>
      </c>
      <c r="E20" s="44" t="s">
        <v>164</v>
      </c>
      <c r="F20" s="45">
        <v>5</v>
      </c>
      <c r="G20" s="45">
        <v>10</v>
      </c>
      <c r="H20" s="45">
        <v>4</v>
      </c>
      <c r="I20" s="45">
        <v>1</v>
      </c>
      <c r="J20" s="47">
        <f t="shared" si="0"/>
        <v>20</v>
      </c>
    </row>
    <row r="21" spans="1:10" x14ac:dyDescent="0.3">
      <c r="A21" s="43">
        <v>19</v>
      </c>
      <c r="B21" s="37" t="s">
        <v>109</v>
      </c>
      <c r="C21" s="5"/>
      <c r="D21" s="37" t="s">
        <v>88</v>
      </c>
      <c r="E21" s="44" t="s">
        <v>147</v>
      </c>
      <c r="F21" s="45">
        <v>6</v>
      </c>
      <c r="G21" s="45">
        <v>11</v>
      </c>
      <c r="H21" s="45">
        <v>4</v>
      </c>
      <c r="I21" s="45">
        <v>1</v>
      </c>
      <c r="J21" s="47">
        <f t="shared" si="0"/>
        <v>22</v>
      </c>
    </row>
    <row r="22" spans="1:10" x14ac:dyDescent="0.3">
      <c r="A22" s="43">
        <v>20</v>
      </c>
      <c r="B22" s="37" t="s">
        <v>110</v>
      </c>
      <c r="C22" s="5"/>
      <c r="D22" s="37" t="s">
        <v>88</v>
      </c>
      <c r="E22" s="44" t="s">
        <v>147</v>
      </c>
      <c r="F22" s="45">
        <v>6</v>
      </c>
      <c r="G22" s="45">
        <v>11</v>
      </c>
      <c r="H22" s="45">
        <v>5</v>
      </c>
      <c r="I22" s="45">
        <v>1</v>
      </c>
      <c r="J22" s="47">
        <f t="shared" si="0"/>
        <v>23</v>
      </c>
    </row>
    <row r="23" spans="1:10" x14ac:dyDescent="0.3">
      <c r="A23" s="43">
        <v>21</v>
      </c>
      <c r="B23" s="37" t="s">
        <v>65</v>
      </c>
      <c r="C23" s="5" t="s">
        <v>190</v>
      </c>
      <c r="D23" s="37" t="s">
        <v>38</v>
      </c>
      <c r="E23" s="44" t="s">
        <v>153</v>
      </c>
      <c r="F23" s="45">
        <v>2</v>
      </c>
      <c r="G23" s="45">
        <v>5</v>
      </c>
      <c r="H23" s="45">
        <v>2</v>
      </c>
      <c r="I23" s="45">
        <v>1</v>
      </c>
      <c r="J23" s="47">
        <f t="shared" si="0"/>
        <v>10</v>
      </c>
    </row>
    <row r="24" spans="1:10" x14ac:dyDescent="0.3">
      <c r="A24" s="43">
        <v>22</v>
      </c>
      <c r="B24" s="37" t="s">
        <v>89</v>
      </c>
      <c r="C24" s="5"/>
      <c r="D24" s="37" t="s">
        <v>38</v>
      </c>
      <c r="E24" s="44" t="s">
        <v>157</v>
      </c>
      <c r="F24" s="45">
        <v>2</v>
      </c>
      <c r="G24" s="45">
        <v>3</v>
      </c>
      <c r="H24" s="45">
        <v>2</v>
      </c>
      <c r="I24" s="45">
        <v>1</v>
      </c>
      <c r="J24" s="47">
        <f t="shared" si="0"/>
        <v>8</v>
      </c>
    </row>
    <row r="25" spans="1:10" x14ac:dyDescent="0.3">
      <c r="A25" s="43">
        <v>23</v>
      </c>
      <c r="B25" s="37" t="s">
        <v>79</v>
      </c>
      <c r="C25" s="5"/>
      <c r="D25" s="37" t="s">
        <v>88</v>
      </c>
      <c r="E25" s="44" t="s">
        <v>165</v>
      </c>
      <c r="F25" s="45">
        <v>1</v>
      </c>
      <c r="G25" s="45">
        <v>2</v>
      </c>
      <c r="H25" s="45">
        <v>1</v>
      </c>
      <c r="I25" s="45">
        <v>1</v>
      </c>
      <c r="J25" s="47">
        <f t="shared" si="0"/>
        <v>5</v>
      </c>
    </row>
    <row r="26" spans="1:10" x14ac:dyDescent="0.3">
      <c r="A26" s="43">
        <v>24</v>
      </c>
      <c r="B26" s="37" t="s">
        <v>100</v>
      </c>
      <c r="C26" s="5"/>
      <c r="D26" s="37" t="s">
        <v>38</v>
      </c>
      <c r="E26" s="44" t="s">
        <v>152</v>
      </c>
      <c r="F26" s="45">
        <v>3</v>
      </c>
      <c r="G26" s="45">
        <v>7</v>
      </c>
      <c r="H26" s="45">
        <v>2</v>
      </c>
      <c r="I26" s="45">
        <v>1</v>
      </c>
      <c r="J26" s="47">
        <f t="shared" si="0"/>
        <v>13</v>
      </c>
    </row>
    <row r="27" spans="1:10" x14ac:dyDescent="0.3">
      <c r="A27" s="43">
        <v>25</v>
      </c>
      <c r="B27" s="37" t="s">
        <v>98</v>
      </c>
      <c r="C27" s="5"/>
      <c r="D27" s="37" t="s">
        <v>99</v>
      </c>
      <c r="E27" s="44" t="s">
        <v>166</v>
      </c>
      <c r="F27" s="45">
        <v>5</v>
      </c>
      <c r="G27" s="45">
        <v>7</v>
      </c>
      <c r="H27" s="45">
        <v>4</v>
      </c>
      <c r="I27" s="45">
        <v>1</v>
      </c>
      <c r="J27" s="47">
        <f t="shared" si="0"/>
        <v>17</v>
      </c>
    </row>
    <row r="28" spans="1:10" x14ac:dyDescent="0.3">
      <c r="A28" s="43">
        <v>26</v>
      </c>
      <c r="B28" s="37" t="s">
        <v>120</v>
      </c>
      <c r="C28" s="5"/>
      <c r="D28" s="37" t="s">
        <v>99</v>
      </c>
      <c r="E28" s="44" t="s">
        <v>166</v>
      </c>
      <c r="F28" s="45">
        <v>3</v>
      </c>
      <c r="G28" s="45">
        <v>1</v>
      </c>
      <c r="H28" s="45">
        <v>3</v>
      </c>
      <c r="I28" s="45">
        <v>1</v>
      </c>
      <c r="J28" s="47">
        <f t="shared" si="0"/>
        <v>8</v>
      </c>
    </row>
    <row r="29" spans="1:10" x14ac:dyDescent="0.3">
      <c r="A29" s="43">
        <v>27</v>
      </c>
      <c r="B29" s="37" t="s">
        <v>91</v>
      </c>
      <c r="C29" s="5"/>
      <c r="D29" s="37" t="s">
        <v>34</v>
      </c>
      <c r="E29" s="44" t="s">
        <v>149</v>
      </c>
      <c r="F29" s="45">
        <v>5</v>
      </c>
      <c r="G29" s="45">
        <v>10</v>
      </c>
      <c r="H29" s="45">
        <v>4</v>
      </c>
      <c r="I29" s="45">
        <v>1</v>
      </c>
      <c r="J29" s="47">
        <f t="shared" si="0"/>
        <v>20</v>
      </c>
    </row>
    <row r="30" spans="1:10" x14ac:dyDescent="0.3">
      <c r="A30" s="43">
        <v>28</v>
      </c>
      <c r="B30" s="37" t="s">
        <v>97</v>
      </c>
      <c r="C30" s="5" t="s">
        <v>190</v>
      </c>
      <c r="D30" s="37" t="s">
        <v>38</v>
      </c>
      <c r="E30" s="44" t="s">
        <v>167</v>
      </c>
      <c r="F30" s="45">
        <v>3</v>
      </c>
      <c r="G30" s="45">
        <v>6</v>
      </c>
      <c r="H30" s="45">
        <v>2</v>
      </c>
      <c r="I30" s="45">
        <v>1</v>
      </c>
      <c r="J30" s="47">
        <f t="shared" si="0"/>
        <v>12</v>
      </c>
    </row>
    <row r="31" spans="1:10" x14ac:dyDescent="0.3">
      <c r="A31" s="43">
        <v>29</v>
      </c>
      <c r="B31" s="37" t="s">
        <v>61</v>
      </c>
      <c r="C31" s="5"/>
      <c r="D31" s="37" t="s">
        <v>38</v>
      </c>
      <c r="E31" s="44" t="s">
        <v>168</v>
      </c>
      <c r="F31" s="45">
        <v>2</v>
      </c>
      <c r="G31" s="45">
        <v>2</v>
      </c>
      <c r="H31" s="45"/>
      <c r="I31" s="45"/>
      <c r="J31" s="47">
        <f t="shared" si="0"/>
        <v>4</v>
      </c>
    </row>
    <row r="32" spans="1:10" x14ac:dyDescent="0.3">
      <c r="A32" s="43">
        <v>30</v>
      </c>
      <c r="B32" s="37" t="s">
        <v>62</v>
      </c>
      <c r="C32" s="5"/>
      <c r="D32" s="37" t="s">
        <v>38</v>
      </c>
      <c r="E32" s="44" t="s">
        <v>168</v>
      </c>
      <c r="F32" s="45"/>
      <c r="G32" s="45">
        <v>2</v>
      </c>
      <c r="H32" s="45"/>
      <c r="I32" s="45"/>
      <c r="J32" s="47">
        <f t="shared" si="0"/>
        <v>2</v>
      </c>
    </row>
    <row r="33" spans="1:10" x14ac:dyDescent="0.3">
      <c r="A33" s="43">
        <v>31</v>
      </c>
      <c r="B33" s="37" t="s">
        <v>180</v>
      </c>
      <c r="C33" s="5"/>
      <c r="D33" s="37" t="s">
        <v>88</v>
      </c>
      <c r="E33" s="44" t="s">
        <v>162</v>
      </c>
      <c r="F33" s="45">
        <v>2</v>
      </c>
      <c r="G33" s="45">
        <v>2</v>
      </c>
      <c r="H33" s="45">
        <v>1</v>
      </c>
      <c r="I33" s="45"/>
      <c r="J33" s="47">
        <f t="shared" si="0"/>
        <v>5</v>
      </c>
    </row>
    <row r="34" spans="1:10" x14ac:dyDescent="0.3">
      <c r="A34" s="43">
        <v>32</v>
      </c>
      <c r="B34" s="37" t="s">
        <v>71</v>
      </c>
      <c r="C34" s="5" t="s">
        <v>190</v>
      </c>
      <c r="D34" s="37" t="s">
        <v>49</v>
      </c>
      <c r="E34" s="44" t="s">
        <v>169</v>
      </c>
      <c r="F34" s="45">
        <v>1</v>
      </c>
      <c r="G34" s="45">
        <v>1</v>
      </c>
      <c r="H34" s="45">
        <v>1</v>
      </c>
      <c r="I34" s="45">
        <v>1</v>
      </c>
      <c r="J34" s="47">
        <f t="shared" si="0"/>
        <v>4</v>
      </c>
    </row>
    <row r="35" spans="1:10" x14ac:dyDescent="0.3">
      <c r="A35" s="43">
        <v>33</v>
      </c>
      <c r="B35" s="37" t="s">
        <v>72</v>
      </c>
      <c r="C35" s="5" t="s">
        <v>190</v>
      </c>
      <c r="D35" s="37" t="s">
        <v>49</v>
      </c>
      <c r="E35" s="44" t="s">
        <v>169</v>
      </c>
      <c r="F35" s="45">
        <v>1</v>
      </c>
      <c r="G35" s="45">
        <v>2</v>
      </c>
      <c r="H35" s="45">
        <v>1</v>
      </c>
      <c r="I35" s="45">
        <v>1</v>
      </c>
      <c r="J35" s="47">
        <f t="shared" si="0"/>
        <v>5</v>
      </c>
    </row>
    <row r="36" spans="1:10" x14ac:dyDescent="0.3">
      <c r="A36" s="43">
        <v>34</v>
      </c>
      <c r="B36" s="37" t="s">
        <v>73</v>
      </c>
      <c r="C36" s="5" t="s">
        <v>190</v>
      </c>
      <c r="D36" s="37" t="s">
        <v>49</v>
      </c>
      <c r="E36" s="44" t="s">
        <v>169</v>
      </c>
      <c r="F36" s="45">
        <v>1</v>
      </c>
      <c r="G36" s="45">
        <v>1</v>
      </c>
      <c r="H36" s="45">
        <v>1</v>
      </c>
      <c r="I36" s="45"/>
      <c r="J36" s="47">
        <f t="shared" si="0"/>
        <v>3</v>
      </c>
    </row>
    <row r="37" spans="1:10" x14ac:dyDescent="0.3">
      <c r="A37" s="43">
        <v>35</v>
      </c>
      <c r="B37" s="37" t="s">
        <v>74</v>
      </c>
      <c r="C37" s="5" t="s">
        <v>190</v>
      </c>
      <c r="D37" s="37" t="s">
        <v>49</v>
      </c>
      <c r="E37" s="44" t="s">
        <v>169</v>
      </c>
      <c r="F37" s="45">
        <v>1</v>
      </c>
      <c r="G37" s="45">
        <v>1</v>
      </c>
      <c r="H37" s="45"/>
      <c r="I37" s="45"/>
      <c r="J37" s="47">
        <f t="shared" si="0"/>
        <v>2</v>
      </c>
    </row>
    <row r="38" spans="1:10" x14ac:dyDescent="0.3">
      <c r="A38" s="43">
        <v>36</v>
      </c>
      <c r="B38" s="37" t="s">
        <v>102</v>
      </c>
      <c r="C38" s="5"/>
      <c r="D38" s="37" t="s">
        <v>88</v>
      </c>
      <c r="E38" s="44" t="s">
        <v>170</v>
      </c>
      <c r="F38" s="45">
        <v>4</v>
      </c>
      <c r="G38" s="45">
        <v>7</v>
      </c>
      <c r="H38" s="45">
        <v>4</v>
      </c>
      <c r="I38" s="45">
        <v>1</v>
      </c>
      <c r="J38" s="47">
        <f t="shared" si="0"/>
        <v>16</v>
      </c>
    </row>
    <row r="39" spans="1:10" x14ac:dyDescent="0.3">
      <c r="A39" s="43">
        <v>37</v>
      </c>
      <c r="B39" s="37" t="s">
        <v>124</v>
      </c>
      <c r="C39" s="5"/>
      <c r="D39" s="37" t="s">
        <v>38</v>
      </c>
      <c r="E39" s="44" t="s">
        <v>179</v>
      </c>
      <c r="F39" s="45">
        <v>1</v>
      </c>
      <c r="G39" s="45">
        <v>1</v>
      </c>
      <c r="H39" s="45"/>
      <c r="I39" s="45"/>
      <c r="J39" s="47">
        <f t="shared" si="0"/>
        <v>2</v>
      </c>
    </row>
    <row r="40" spans="1:10" x14ac:dyDescent="0.3">
      <c r="A40" s="43">
        <v>38</v>
      </c>
      <c r="B40" s="37" t="s">
        <v>78</v>
      </c>
      <c r="C40" s="5"/>
      <c r="D40" s="37" t="s">
        <v>88</v>
      </c>
      <c r="E40" s="44" t="s">
        <v>186</v>
      </c>
      <c r="F40" s="45">
        <v>1</v>
      </c>
      <c r="G40" s="45">
        <v>2</v>
      </c>
      <c r="H40" s="45">
        <v>1</v>
      </c>
      <c r="I40" s="45"/>
      <c r="J40" s="47">
        <f t="shared" si="0"/>
        <v>4</v>
      </c>
    </row>
    <row r="41" spans="1:10" x14ac:dyDescent="0.3">
      <c r="A41" s="43">
        <v>39</v>
      </c>
      <c r="B41" s="37" t="s">
        <v>112</v>
      </c>
      <c r="C41" s="5"/>
      <c r="D41" s="37" t="s">
        <v>38</v>
      </c>
      <c r="E41" s="44" t="s">
        <v>171</v>
      </c>
      <c r="F41" s="45">
        <v>1</v>
      </c>
      <c r="G41" s="45"/>
      <c r="H41" s="45"/>
      <c r="I41" s="45"/>
      <c r="J41" s="47">
        <f t="shared" si="0"/>
        <v>1</v>
      </c>
    </row>
    <row r="42" spans="1:10" x14ac:dyDescent="0.3">
      <c r="A42" s="43">
        <v>40</v>
      </c>
      <c r="B42" s="37" t="s">
        <v>113</v>
      </c>
      <c r="C42" s="5"/>
      <c r="D42" s="37" t="s">
        <v>88</v>
      </c>
      <c r="E42" s="44" t="s">
        <v>171</v>
      </c>
      <c r="F42" s="45">
        <v>2</v>
      </c>
      <c r="G42" s="45">
        <v>4</v>
      </c>
      <c r="H42" s="45">
        <v>2</v>
      </c>
      <c r="I42" s="45"/>
      <c r="J42" s="47">
        <f t="shared" si="0"/>
        <v>8</v>
      </c>
    </row>
    <row r="43" spans="1:10" x14ac:dyDescent="0.3">
      <c r="A43" s="43">
        <v>41</v>
      </c>
      <c r="B43" s="37" t="s">
        <v>130</v>
      </c>
      <c r="C43" s="5"/>
      <c r="D43" s="37" t="s">
        <v>38</v>
      </c>
      <c r="E43" s="44" t="s">
        <v>171</v>
      </c>
      <c r="F43" s="45">
        <v>2</v>
      </c>
      <c r="G43" s="45">
        <v>5</v>
      </c>
      <c r="H43" s="45">
        <v>2</v>
      </c>
      <c r="I43" s="45">
        <v>1</v>
      </c>
      <c r="J43" s="47">
        <f t="shared" si="0"/>
        <v>10</v>
      </c>
    </row>
    <row r="44" spans="1:10" x14ac:dyDescent="0.3">
      <c r="A44" s="43">
        <v>42</v>
      </c>
      <c r="B44" s="37" t="s">
        <v>182</v>
      </c>
      <c r="C44" s="5"/>
      <c r="D44" s="37" t="s">
        <v>38</v>
      </c>
      <c r="E44" s="44" t="s">
        <v>183</v>
      </c>
      <c r="F44" s="45">
        <v>2</v>
      </c>
      <c r="G44" s="45">
        <v>4</v>
      </c>
      <c r="H44" s="45">
        <v>2</v>
      </c>
      <c r="I44" s="45"/>
      <c r="J44" s="47">
        <f t="shared" si="0"/>
        <v>8</v>
      </c>
    </row>
    <row r="45" spans="1:10" x14ac:dyDescent="0.3">
      <c r="A45" s="43">
        <v>43</v>
      </c>
      <c r="B45" s="37" t="s">
        <v>181</v>
      </c>
      <c r="C45" s="5" t="s">
        <v>190</v>
      </c>
      <c r="D45" s="37" t="s">
        <v>173</v>
      </c>
      <c r="E45" s="44" t="s">
        <v>155</v>
      </c>
      <c r="F45" s="45">
        <v>2</v>
      </c>
      <c r="G45" s="45">
        <v>3</v>
      </c>
      <c r="H45" s="45">
        <v>1</v>
      </c>
      <c r="I45" s="45">
        <v>1</v>
      </c>
      <c r="J45" s="47">
        <f t="shared" si="0"/>
        <v>7</v>
      </c>
    </row>
    <row r="46" spans="1:10" x14ac:dyDescent="0.3">
      <c r="A46" s="43">
        <v>44</v>
      </c>
      <c r="B46" s="37" t="s">
        <v>274</v>
      </c>
      <c r="C46" s="5" t="s">
        <v>190</v>
      </c>
      <c r="D46" s="37" t="s">
        <v>38</v>
      </c>
      <c r="E46" s="44" t="s">
        <v>172</v>
      </c>
      <c r="F46" s="45">
        <v>5</v>
      </c>
      <c r="G46" s="45">
        <v>7</v>
      </c>
      <c r="H46" s="45">
        <v>3</v>
      </c>
      <c r="I46" s="45">
        <v>1</v>
      </c>
      <c r="J46" s="47">
        <f t="shared" si="0"/>
        <v>16</v>
      </c>
    </row>
    <row r="47" spans="1:10" x14ac:dyDescent="0.3">
      <c r="A47" s="43">
        <v>45</v>
      </c>
      <c r="B47" s="37" t="s">
        <v>273</v>
      </c>
      <c r="C47" s="5" t="s">
        <v>190</v>
      </c>
      <c r="D47" s="37" t="s">
        <v>38</v>
      </c>
      <c r="E47" s="44" t="s">
        <v>172</v>
      </c>
      <c r="F47" s="45">
        <v>2</v>
      </c>
      <c r="G47" s="45">
        <v>2</v>
      </c>
      <c r="H47" s="45"/>
      <c r="I47" s="45"/>
      <c r="J47" s="47">
        <f t="shared" si="0"/>
        <v>4</v>
      </c>
    </row>
    <row r="48" spans="1:10" x14ac:dyDescent="0.3">
      <c r="A48" s="43">
        <v>46</v>
      </c>
      <c r="B48" s="37" t="s">
        <v>96</v>
      </c>
      <c r="C48" s="5"/>
      <c r="D48" s="37" t="s">
        <v>38</v>
      </c>
      <c r="E48" s="44" t="s">
        <v>151</v>
      </c>
      <c r="F48" s="45">
        <v>3</v>
      </c>
      <c r="G48" s="45">
        <v>5</v>
      </c>
      <c r="H48" s="45">
        <v>1</v>
      </c>
      <c r="I48" s="45"/>
      <c r="J48" s="47">
        <f t="shared" si="0"/>
        <v>9</v>
      </c>
    </row>
    <row r="49" spans="1:10" x14ac:dyDescent="0.3">
      <c r="A49" s="43">
        <v>47</v>
      </c>
      <c r="B49" s="37" t="s">
        <v>128</v>
      </c>
      <c r="C49" s="5"/>
      <c r="D49" s="37" t="s">
        <v>88</v>
      </c>
      <c r="E49" s="44" t="s">
        <v>185</v>
      </c>
      <c r="F49" s="45">
        <v>4</v>
      </c>
      <c r="G49" s="45">
        <v>6</v>
      </c>
      <c r="H49" s="45">
        <v>4</v>
      </c>
      <c r="I49" s="45">
        <v>1</v>
      </c>
      <c r="J49" s="47">
        <f t="shared" si="0"/>
        <v>15</v>
      </c>
    </row>
    <row r="50" spans="1:10" x14ac:dyDescent="0.3">
      <c r="A50" s="43">
        <v>48</v>
      </c>
      <c r="B50" s="37" t="s">
        <v>135</v>
      </c>
      <c r="C50" s="5"/>
      <c r="D50" s="37" t="s">
        <v>88</v>
      </c>
      <c r="E50" s="44" t="s">
        <v>146</v>
      </c>
      <c r="F50" s="45">
        <v>2</v>
      </c>
      <c r="G50" s="45">
        <v>4</v>
      </c>
      <c r="H50" s="45">
        <v>2</v>
      </c>
      <c r="I50" s="45">
        <v>1</v>
      </c>
      <c r="J50" s="47">
        <f t="shared" si="0"/>
        <v>9</v>
      </c>
    </row>
    <row r="51" spans="1:10" x14ac:dyDescent="0.3">
      <c r="A51" s="43">
        <v>49</v>
      </c>
      <c r="B51" s="37" t="s">
        <v>176</v>
      </c>
      <c r="C51" s="5"/>
      <c r="D51" s="37" t="s">
        <v>38</v>
      </c>
      <c r="E51" s="44" t="s">
        <v>177</v>
      </c>
      <c r="F51" s="45">
        <v>4</v>
      </c>
      <c r="G51" s="45">
        <v>5</v>
      </c>
      <c r="H51" s="45">
        <v>2</v>
      </c>
      <c r="I51" s="45"/>
      <c r="J51" s="47">
        <f t="shared" si="0"/>
        <v>11</v>
      </c>
    </row>
    <row r="52" spans="1:10" x14ac:dyDescent="0.3">
      <c r="A52" s="43">
        <v>50</v>
      </c>
      <c r="B52" s="37" t="s">
        <v>178</v>
      </c>
      <c r="C52" s="5"/>
      <c r="D52" s="37" t="s">
        <v>38</v>
      </c>
      <c r="E52" s="44" t="s">
        <v>177</v>
      </c>
      <c r="F52" s="45">
        <v>3</v>
      </c>
      <c r="G52" s="45">
        <v>6</v>
      </c>
      <c r="H52" s="45">
        <v>2</v>
      </c>
      <c r="I52" s="45">
        <v>1</v>
      </c>
      <c r="J52" s="47">
        <f t="shared" si="0"/>
        <v>12</v>
      </c>
    </row>
    <row r="53" spans="1:10" x14ac:dyDescent="0.3">
      <c r="A53" s="43">
        <v>51</v>
      </c>
      <c r="B53" s="37" t="s">
        <v>188</v>
      </c>
      <c r="C53" s="5"/>
      <c r="D53" s="37" t="s">
        <v>38</v>
      </c>
      <c r="E53" s="44" t="s">
        <v>187</v>
      </c>
      <c r="F53" s="45">
        <v>4</v>
      </c>
      <c r="G53" s="45">
        <v>7</v>
      </c>
      <c r="H53" s="45">
        <v>3</v>
      </c>
      <c r="I53" s="45">
        <v>1</v>
      </c>
      <c r="J53" s="47">
        <f t="shared" si="0"/>
        <v>15</v>
      </c>
    </row>
    <row r="54" spans="1:10" x14ac:dyDescent="0.3">
      <c r="A54" s="43">
        <v>52</v>
      </c>
      <c r="B54" s="37" t="s">
        <v>189</v>
      </c>
      <c r="C54" s="5"/>
      <c r="D54" s="37" t="s">
        <v>88</v>
      </c>
      <c r="E54" s="44" t="s">
        <v>191</v>
      </c>
      <c r="F54" s="45">
        <v>1</v>
      </c>
      <c r="G54" s="45">
        <v>1</v>
      </c>
      <c r="H54" s="45">
        <v>1</v>
      </c>
      <c r="I54" s="45"/>
      <c r="J54" s="47">
        <f t="shared" si="0"/>
        <v>3</v>
      </c>
    </row>
    <row r="55" spans="1:10" x14ac:dyDescent="0.3">
      <c r="A55" s="43">
        <v>53</v>
      </c>
      <c r="B55" s="37" t="s">
        <v>193</v>
      </c>
      <c r="C55" s="5"/>
      <c r="D55" s="37" t="s">
        <v>88</v>
      </c>
      <c r="E55" s="44" t="s">
        <v>192</v>
      </c>
      <c r="F55" s="45">
        <v>4</v>
      </c>
      <c r="G55" s="45">
        <v>6</v>
      </c>
      <c r="H55" s="45">
        <v>2</v>
      </c>
      <c r="I55" s="45"/>
      <c r="J55" s="47">
        <f t="shared" si="0"/>
        <v>12</v>
      </c>
    </row>
    <row r="56" spans="1:10" x14ac:dyDescent="0.3">
      <c r="A56" s="43">
        <v>54</v>
      </c>
      <c r="B56" s="37" t="s">
        <v>63</v>
      </c>
      <c r="C56" s="5"/>
      <c r="D56" s="37" t="s">
        <v>57</v>
      </c>
      <c r="E56" s="44" t="s">
        <v>195</v>
      </c>
      <c r="F56" s="46">
        <v>3</v>
      </c>
      <c r="G56" s="46">
        <v>5</v>
      </c>
      <c r="H56" s="46">
        <v>2</v>
      </c>
      <c r="I56" s="46"/>
      <c r="J56" s="47">
        <f t="shared" si="0"/>
        <v>10</v>
      </c>
    </row>
    <row r="57" spans="1:10" x14ac:dyDescent="0.3">
      <c r="A57" s="43">
        <v>55</v>
      </c>
      <c r="B57" s="37" t="s">
        <v>194</v>
      </c>
      <c r="C57" s="5"/>
      <c r="D57" s="37" t="s">
        <v>57</v>
      </c>
      <c r="E57" s="44" t="s">
        <v>195</v>
      </c>
      <c r="F57" s="46">
        <v>2</v>
      </c>
      <c r="G57" s="46">
        <v>2</v>
      </c>
      <c r="H57" s="46">
        <v>1</v>
      </c>
      <c r="I57" s="46"/>
      <c r="J57" s="47">
        <f t="shared" si="0"/>
        <v>5</v>
      </c>
    </row>
    <row r="58" spans="1:10" x14ac:dyDescent="0.3">
      <c r="A58" s="43">
        <v>56</v>
      </c>
      <c r="B58" s="49" t="s">
        <v>271</v>
      </c>
      <c r="C58" s="5" t="s">
        <v>190</v>
      </c>
      <c r="D58" s="37" t="s">
        <v>38</v>
      </c>
      <c r="E58" s="44" t="s">
        <v>570</v>
      </c>
      <c r="F58" s="46">
        <v>1</v>
      </c>
      <c r="G58" s="46">
        <v>1</v>
      </c>
      <c r="H58" s="46">
        <v>1</v>
      </c>
      <c r="I58" s="46"/>
      <c r="J58" s="47">
        <f t="shared" si="0"/>
        <v>3</v>
      </c>
    </row>
    <row r="59" spans="1:10" x14ac:dyDescent="0.3">
      <c r="A59" s="43">
        <v>57</v>
      </c>
      <c r="B59" s="49" t="s">
        <v>266</v>
      </c>
      <c r="C59" s="5"/>
      <c r="D59" s="37" t="s">
        <v>38</v>
      </c>
      <c r="E59" s="44" t="s">
        <v>570</v>
      </c>
      <c r="F59" s="46">
        <v>1</v>
      </c>
      <c r="G59" s="46">
        <v>1</v>
      </c>
      <c r="H59" s="46">
        <v>1</v>
      </c>
      <c r="I59" s="46"/>
      <c r="J59" s="47">
        <f t="shared" si="0"/>
        <v>3</v>
      </c>
    </row>
    <row r="60" spans="1:10" x14ac:dyDescent="0.3">
      <c r="A60" s="43">
        <v>58</v>
      </c>
      <c r="B60" s="49" t="s">
        <v>39</v>
      </c>
      <c r="C60" s="5"/>
      <c r="D60" s="37" t="s">
        <v>38</v>
      </c>
      <c r="E60" s="44" t="s">
        <v>570</v>
      </c>
      <c r="F60" s="46">
        <v>1</v>
      </c>
      <c r="G60" s="46">
        <v>1</v>
      </c>
      <c r="H60" s="46">
        <v>1</v>
      </c>
      <c r="I60" s="46"/>
      <c r="J60" s="47">
        <f t="shared" si="0"/>
        <v>3</v>
      </c>
    </row>
    <row r="61" spans="1:10" x14ac:dyDescent="0.3">
      <c r="A61" s="43">
        <v>59</v>
      </c>
      <c r="B61" s="49" t="s">
        <v>270</v>
      </c>
      <c r="C61" s="5" t="s">
        <v>190</v>
      </c>
      <c r="D61" s="37" t="s">
        <v>38</v>
      </c>
      <c r="E61" s="44" t="s">
        <v>570</v>
      </c>
      <c r="F61" s="46">
        <v>2</v>
      </c>
      <c r="G61" s="46">
        <v>2</v>
      </c>
      <c r="H61" s="46">
        <v>1</v>
      </c>
      <c r="I61" s="46"/>
      <c r="J61" s="47">
        <f t="shared" si="0"/>
        <v>5</v>
      </c>
    </row>
    <row r="62" spans="1:10" x14ac:dyDescent="0.3">
      <c r="A62" s="43">
        <v>60</v>
      </c>
      <c r="B62" s="37" t="s">
        <v>265</v>
      </c>
      <c r="C62" s="5"/>
      <c r="D62" s="37" t="s">
        <v>88</v>
      </c>
      <c r="E62" s="55" t="s">
        <v>264</v>
      </c>
      <c r="F62" s="46">
        <v>5</v>
      </c>
      <c r="G62" s="46">
        <v>10</v>
      </c>
      <c r="H62" s="46">
        <v>5</v>
      </c>
      <c r="I62" s="46"/>
      <c r="J62" s="47">
        <f t="shared" si="0"/>
        <v>20</v>
      </c>
    </row>
    <row r="63" spans="1:10" x14ac:dyDescent="0.3">
      <c r="A63" s="43">
        <v>61</v>
      </c>
      <c r="B63" s="37" t="s">
        <v>236</v>
      </c>
      <c r="C63" s="5"/>
      <c r="D63" s="37" t="s">
        <v>88</v>
      </c>
      <c r="E63" s="55" t="s">
        <v>278</v>
      </c>
      <c r="F63" s="46">
        <v>2</v>
      </c>
      <c r="G63" s="46">
        <v>4</v>
      </c>
      <c r="H63" s="46">
        <v>1</v>
      </c>
      <c r="I63" s="46">
        <v>1</v>
      </c>
      <c r="J63" s="47">
        <f t="shared" si="0"/>
        <v>8</v>
      </c>
    </row>
    <row r="64" spans="1:10" x14ac:dyDescent="0.3">
      <c r="A64" s="43">
        <v>62</v>
      </c>
      <c r="B64" s="37" t="s">
        <v>387</v>
      </c>
      <c r="C64" s="5"/>
      <c r="D64" s="37" t="s">
        <v>38</v>
      </c>
      <c r="E64" s="44" t="s">
        <v>349</v>
      </c>
      <c r="F64" s="46">
        <v>2</v>
      </c>
      <c r="G64" s="46">
        <v>2</v>
      </c>
      <c r="H64" s="46">
        <v>2</v>
      </c>
      <c r="I64" s="46"/>
      <c r="J64" s="47">
        <f t="shared" si="0"/>
        <v>6</v>
      </c>
    </row>
    <row r="65" spans="1:10" x14ac:dyDescent="0.3">
      <c r="A65" s="43">
        <v>63</v>
      </c>
      <c r="B65" s="37" t="s">
        <v>423</v>
      </c>
      <c r="C65" s="5"/>
      <c r="D65" s="37" t="s">
        <v>88</v>
      </c>
      <c r="E65" s="44" t="s">
        <v>390</v>
      </c>
      <c r="F65" s="46">
        <v>2</v>
      </c>
      <c r="G65" s="46">
        <v>2</v>
      </c>
      <c r="H65" s="46"/>
      <c r="I65" s="46"/>
      <c r="J65" s="47">
        <f t="shared" si="0"/>
        <v>4</v>
      </c>
    </row>
    <row r="66" spans="1:10" x14ac:dyDescent="0.3">
      <c r="A66" s="43">
        <v>64</v>
      </c>
      <c r="B66" s="37" t="s">
        <v>454</v>
      </c>
      <c r="C66" s="5"/>
      <c r="D66" s="37" t="s">
        <v>88</v>
      </c>
      <c r="E66" s="44" t="s">
        <v>316</v>
      </c>
      <c r="F66" s="46">
        <v>2</v>
      </c>
      <c r="G66" s="46">
        <v>2</v>
      </c>
      <c r="H66" s="46">
        <v>2</v>
      </c>
      <c r="I66" s="46"/>
      <c r="J66" s="47">
        <f t="shared" si="0"/>
        <v>6</v>
      </c>
    </row>
    <row r="67" spans="1:10" x14ac:dyDescent="0.3">
      <c r="A67" s="43">
        <v>65</v>
      </c>
      <c r="B67" s="37" t="s">
        <v>438</v>
      </c>
      <c r="C67" s="5"/>
      <c r="D67" s="37" t="s">
        <v>88</v>
      </c>
      <c r="E67" s="44" t="s">
        <v>437</v>
      </c>
      <c r="F67" s="46">
        <v>2</v>
      </c>
      <c r="G67" s="46">
        <v>2</v>
      </c>
      <c r="H67" s="46">
        <v>1</v>
      </c>
      <c r="I67" s="46"/>
      <c r="J67" s="47">
        <f t="shared" si="0"/>
        <v>5</v>
      </c>
    </row>
    <row r="68" spans="1:10" x14ac:dyDescent="0.3">
      <c r="A68" s="43">
        <v>66</v>
      </c>
      <c r="B68" s="37" t="s">
        <v>291</v>
      </c>
      <c r="C68" s="5"/>
      <c r="D68" s="37" t="s">
        <v>88</v>
      </c>
      <c r="E68" s="44" t="s">
        <v>140</v>
      </c>
      <c r="F68" s="46">
        <v>3</v>
      </c>
      <c r="G68" s="46">
        <v>5</v>
      </c>
      <c r="H68" s="46">
        <v>3</v>
      </c>
      <c r="I68" s="46"/>
      <c r="J68" s="47">
        <f t="shared" si="0"/>
        <v>11</v>
      </c>
    </row>
    <row r="69" spans="1:10" x14ac:dyDescent="0.3">
      <c r="A69" s="43">
        <v>67</v>
      </c>
      <c r="B69" s="49" t="s">
        <v>455</v>
      </c>
      <c r="C69" s="5"/>
      <c r="D69" s="49" t="s">
        <v>88</v>
      </c>
      <c r="E69" s="44" t="s">
        <v>360</v>
      </c>
      <c r="F69" s="46"/>
      <c r="G69" s="46"/>
      <c r="H69" s="46"/>
      <c r="I69" s="46"/>
      <c r="J69" s="47">
        <f t="shared" si="0"/>
        <v>0</v>
      </c>
    </row>
    <row r="70" spans="1:10" x14ac:dyDescent="0.3">
      <c r="A70" s="43">
        <v>68</v>
      </c>
      <c r="B70" s="49" t="s">
        <v>457</v>
      </c>
      <c r="C70" s="5"/>
      <c r="D70" s="49" t="s">
        <v>88</v>
      </c>
      <c r="E70" s="44" t="s">
        <v>315</v>
      </c>
      <c r="F70" s="46">
        <v>1</v>
      </c>
      <c r="G70" s="46">
        <v>1</v>
      </c>
      <c r="H70" s="46">
        <v>1</v>
      </c>
      <c r="I70" s="46"/>
      <c r="J70" s="47">
        <f t="shared" ref="J70:J82" si="1">SUM(F70:I70)</f>
        <v>3</v>
      </c>
    </row>
    <row r="71" spans="1:10" x14ac:dyDescent="0.3">
      <c r="A71" s="43">
        <v>69</v>
      </c>
      <c r="B71" s="49" t="s">
        <v>456</v>
      </c>
      <c r="C71" s="5"/>
      <c r="D71" s="49" t="s">
        <v>88</v>
      </c>
      <c r="E71" s="44" t="s">
        <v>315</v>
      </c>
      <c r="F71" s="46">
        <v>1</v>
      </c>
      <c r="G71" s="46">
        <v>1</v>
      </c>
      <c r="H71" s="46">
        <v>1</v>
      </c>
      <c r="I71" s="46"/>
      <c r="J71" s="47">
        <f t="shared" si="1"/>
        <v>3</v>
      </c>
    </row>
    <row r="72" spans="1:10" x14ac:dyDescent="0.3">
      <c r="A72" s="43">
        <v>70</v>
      </c>
      <c r="B72" s="49" t="s">
        <v>403</v>
      </c>
      <c r="C72" s="5"/>
      <c r="D72" s="37" t="s">
        <v>38</v>
      </c>
      <c r="E72" s="44" t="s">
        <v>390</v>
      </c>
      <c r="F72" s="46">
        <v>1</v>
      </c>
      <c r="G72" s="46">
        <v>1</v>
      </c>
      <c r="H72" s="46"/>
      <c r="I72" s="46"/>
      <c r="J72" s="47">
        <f t="shared" si="1"/>
        <v>2</v>
      </c>
    </row>
    <row r="73" spans="1:10" x14ac:dyDescent="0.3">
      <c r="A73" s="43">
        <v>71</v>
      </c>
      <c r="B73" s="37" t="s">
        <v>386</v>
      </c>
      <c r="C73" s="37"/>
      <c r="D73" s="37" t="s">
        <v>88</v>
      </c>
      <c r="E73" s="55" t="s">
        <v>349</v>
      </c>
      <c r="F73" s="46">
        <v>2</v>
      </c>
      <c r="G73" s="46">
        <v>3</v>
      </c>
      <c r="H73" s="46">
        <v>2</v>
      </c>
      <c r="I73" s="46"/>
      <c r="J73" s="47">
        <f t="shared" si="1"/>
        <v>7</v>
      </c>
    </row>
    <row r="74" spans="1:10" x14ac:dyDescent="0.3">
      <c r="A74" s="43">
        <v>72</v>
      </c>
      <c r="B74" s="37" t="s">
        <v>458</v>
      </c>
      <c r="C74" s="37"/>
      <c r="D74" s="37" t="s">
        <v>88</v>
      </c>
      <c r="E74" s="55" t="s">
        <v>349</v>
      </c>
      <c r="F74" s="46">
        <v>2</v>
      </c>
      <c r="G74" s="46">
        <v>3</v>
      </c>
      <c r="H74" s="46">
        <v>2</v>
      </c>
      <c r="I74" s="46"/>
      <c r="J74" s="47">
        <f t="shared" si="1"/>
        <v>7</v>
      </c>
    </row>
    <row r="75" spans="1:10" x14ac:dyDescent="0.3">
      <c r="A75" s="43">
        <v>73</v>
      </c>
      <c r="B75" s="37" t="s">
        <v>460</v>
      </c>
      <c r="C75" s="37" t="s">
        <v>190</v>
      </c>
      <c r="D75" s="37" t="s">
        <v>38</v>
      </c>
      <c r="E75" s="55" t="s">
        <v>459</v>
      </c>
      <c r="F75" s="46">
        <v>2</v>
      </c>
      <c r="G75" s="46">
        <v>3</v>
      </c>
      <c r="H75" s="46">
        <v>2</v>
      </c>
      <c r="I75" s="46"/>
      <c r="J75" s="47">
        <f t="shared" si="1"/>
        <v>7</v>
      </c>
    </row>
    <row r="76" spans="1:10" x14ac:dyDescent="0.3">
      <c r="A76" s="43">
        <v>74</v>
      </c>
      <c r="B76" s="49" t="s">
        <v>466</v>
      </c>
      <c r="C76" s="5"/>
      <c r="D76" s="37" t="s">
        <v>88</v>
      </c>
      <c r="E76" s="44" t="s">
        <v>467</v>
      </c>
      <c r="F76" s="46">
        <v>3</v>
      </c>
      <c r="G76" s="46">
        <v>3</v>
      </c>
      <c r="H76" s="46">
        <v>2</v>
      </c>
      <c r="I76" s="46"/>
      <c r="J76" s="47">
        <f t="shared" si="1"/>
        <v>8</v>
      </c>
    </row>
    <row r="77" spans="1:10" x14ac:dyDescent="0.3">
      <c r="A77" s="43">
        <v>75</v>
      </c>
      <c r="B77" s="49" t="s">
        <v>512</v>
      </c>
      <c r="C77" s="5"/>
      <c r="D77" s="37" t="s">
        <v>88</v>
      </c>
      <c r="E77" s="44" t="s">
        <v>511</v>
      </c>
      <c r="F77" s="46">
        <v>4</v>
      </c>
      <c r="G77" s="46">
        <v>4</v>
      </c>
      <c r="H77" s="46"/>
      <c r="I77" s="46"/>
      <c r="J77" s="47">
        <f t="shared" si="1"/>
        <v>8</v>
      </c>
    </row>
    <row r="78" spans="1:10" x14ac:dyDescent="0.3">
      <c r="A78" s="43">
        <v>76</v>
      </c>
      <c r="B78" s="49" t="s">
        <v>523</v>
      </c>
      <c r="C78" s="5"/>
      <c r="D78" s="37" t="s">
        <v>38</v>
      </c>
      <c r="E78" s="44" t="s">
        <v>467</v>
      </c>
      <c r="F78" s="46">
        <v>3</v>
      </c>
      <c r="G78" s="46">
        <v>4</v>
      </c>
      <c r="H78" s="46">
        <v>1</v>
      </c>
      <c r="I78" s="46"/>
      <c r="J78" s="47">
        <f t="shared" si="1"/>
        <v>8</v>
      </c>
    </row>
    <row r="79" spans="1:10" x14ac:dyDescent="0.3">
      <c r="A79" s="43">
        <v>77</v>
      </c>
      <c r="B79" s="49" t="s">
        <v>525</v>
      </c>
      <c r="C79" s="5"/>
      <c r="D79" s="37" t="s">
        <v>88</v>
      </c>
      <c r="E79" s="44" t="s">
        <v>468</v>
      </c>
      <c r="F79" s="46">
        <v>2</v>
      </c>
      <c r="G79" s="46">
        <v>2</v>
      </c>
      <c r="H79" s="46">
        <v>1</v>
      </c>
      <c r="I79" s="46"/>
      <c r="J79" s="47">
        <f t="shared" si="1"/>
        <v>5</v>
      </c>
    </row>
    <row r="80" spans="1:10" x14ac:dyDescent="0.3">
      <c r="A80" s="43">
        <v>78</v>
      </c>
      <c r="B80" s="49" t="s">
        <v>496</v>
      </c>
      <c r="C80" s="5"/>
      <c r="D80" s="37" t="s">
        <v>88</v>
      </c>
      <c r="E80" s="44" t="s">
        <v>468</v>
      </c>
      <c r="F80" s="46">
        <v>1</v>
      </c>
      <c r="G80" s="46">
        <v>1</v>
      </c>
      <c r="H80" s="46"/>
      <c r="I80" s="46"/>
      <c r="J80" s="47">
        <f t="shared" si="1"/>
        <v>2</v>
      </c>
    </row>
    <row r="81" spans="1:10" x14ac:dyDescent="0.3">
      <c r="A81" s="43">
        <v>79</v>
      </c>
      <c r="B81" s="37" t="s">
        <v>482</v>
      </c>
      <c r="C81" s="5"/>
      <c r="D81" s="37" t="s">
        <v>88</v>
      </c>
      <c r="E81" s="55" t="s">
        <v>480</v>
      </c>
      <c r="F81" s="46">
        <v>2</v>
      </c>
      <c r="G81" s="46">
        <v>3</v>
      </c>
      <c r="H81" s="46">
        <v>1</v>
      </c>
      <c r="I81" s="46"/>
      <c r="J81" s="47">
        <f t="shared" si="1"/>
        <v>6</v>
      </c>
    </row>
    <row r="82" spans="1:10" x14ac:dyDescent="0.3">
      <c r="A82" s="43">
        <v>80</v>
      </c>
      <c r="B82" s="37"/>
      <c r="C82" s="5" t="s">
        <v>190</v>
      </c>
      <c r="D82" s="37" t="s">
        <v>38</v>
      </c>
      <c r="E82" s="55" t="s">
        <v>172</v>
      </c>
      <c r="F82" s="46">
        <v>1</v>
      </c>
      <c r="G82" s="46">
        <v>1</v>
      </c>
      <c r="H82" s="46">
        <v>1</v>
      </c>
      <c r="I82" s="46"/>
      <c r="J82" s="47">
        <f t="shared" si="1"/>
        <v>3</v>
      </c>
    </row>
    <row r="83" spans="1:10" ht="15.6" x14ac:dyDescent="0.3">
      <c r="A83" s="231" t="s">
        <v>175</v>
      </c>
      <c r="B83" s="232"/>
      <c r="C83" s="232"/>
      <c r="D83" s="232"/>
      <c r="E83" s="233"/>
      <c r="F83" s="23">
        <f>SUM(F3:F82)</f>
        <v>192</v>
      </c>
      <c r="G83" s="23">
        <f>SUM(G3:G82)</f>
        <v>302</v>
      </c>
      <c r="H83" s="23">
        <f>SUM(H3:H82)</f>
        <v>134</v>
      </c>
      <c r="I83" s="23">
        <f>SUM(I3:I82)</f>
        <v>32</v>
      </c>
      <c r="J83" s="48">
        <f>SUM(F83:I83)</f>
        <v>660</v>
      </c>
    </row>
  </sheetData>
  <mergeCells count="8">
    <mergeCell ref="J1:J2"/>
    <mergeCell ref="A83:E83"/>
    <mergeCell ref="A1:A2"/>
    <mergeCell ref="F1:I1"/>
    <mergeCell ref="E1:E2"/>
    <mergeCell ref="D1:D2"/>
    <mergeCell ref="B1:B2"/>
    <mergeCell ref="C1:C2"/>
  </mergeCells>
  <pageMargins left="0.25" right="0.25" top="0.75" bottom="0.75" header="0.3" footer="0.3"/>
  <pageSetup paperSize="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8A44-97F7-464C-B4DC-E392B4F0C675}">
  <sheetPr>
    <pageSetUpPr fitToPage="1"/>
  </sheetPr>
  <dimension ref="A1:J73"/>
  <sheetViews>
    <sheetView topLeftCell="A50" zoomScaleNormal="100" workbookViewId="0">
      <selection activeCell="B68" sqref="B68"/>
    </sheetView>
  </sheetViews>
  <sheetFormatPr defaultColWidth="9.109375" defaultRowHeight="15" x14ac:dyDescent="0.3"/>
  <cols>
    <col min="1" max="1" width="7.44140625" style="1" bestFit="1" customWidth="1"/>
    <col min="2" max="2" width="78.6640625" style="41" customWidth="1"/>
    <col min="3" max="3" width="15.6640625" style="1" customWidth="1"/>
    <col min="4" max="4" width="16.88671875" style="41" bestFit="1" customWidth="1"/>
    <col min="5" max="5" width="22.109375" style="40" bestFit="1" customWidth="1"/>
    <col min="6" max="6" width="13.109375" style="1" customWidth="1"/>
    <col min="7" max="7" width="18.33203125" style="1" customWidth="1"/>
    <col min="8" max="8" width="22.44140625" style="1" customWidth="1"/>
    <col min="9" max="9" width="9.109375" style="1" customWidth="1"/>
    <col min="10" max="10" width="14" style="1" customWidth="1"/>
    <col min="11" max="16384" width="9.109375" style="40"/>
  </cols>
  <sheetData>
    <row r="1" spans="1:10" ht="17.399999999999999" customHeight="1" x14ac:dyDescent="0.3">
      <c r="A1" s="238" t="s">
        <v>396</v>
      </c>
      <c r="B1" s="239"/>
      <c r="C1" s="239"/>
      <c r="D1" s="239"/>
      <c r="E1" s="239"/>
      <c r="F1" s="239"/>
      <c r="G1" s="239"/>
      <c r="H1" s="239"/>
      <c r="I1" s="239"/>
      <c r="J1" s="240"/>
    </row>
    <row r="2" spans="1:10" s="42" customFormat="1" ht="18" customHeight="1" x14ac:dyDescent="0.3">
      <c r="A2" s="244" t="s">
        <v>0</v>
      </c>
      <c r="B2" s="234" t="s">
        <v>3</v>
      </c>
      <c r="C2" s="229" t="s">
        <v>190</v>
      </c>
      <c r="D2" s="235" t="s">
        <v>4</v>
      </c>
      <c r="E2" s="234" t="s">
        <v>1</v>
      </c>
      <c r="F2" s="234" t="s">
        <v>158</v>
      </c>
      <c r="G2" s="234"/>
      <c r="H2" s="229" t="s">
        <v>184</v>
      </c>
      <c r="I2" s="229" t="s">
        <v>311</v>
      </c>
      <c r="J2" s="236" t="s">
        <v>312</v>
      </c>
    </row>
    <row r="3" spans="1:10" s="42" customFormat="1" ht="38.25" customHeight="1" x14ac:dyDescent="0.3">
      <c r="A3" s="244"/>
      <c r="B3" s="234"/>
      <c r="C3" s="230"/>
      <c r="D3" s="235"/>
      <c r="E3" s="234"/>
      <c r="F3" s="39" t="s">
        <v>309</v>
      </c>
      <c r="G3" s="39" t="s">
        <v>310</v>
      </c>
      <c r="H3" s="230"/>
      <c r="I3" s="230"/>
      <c r="J3" s="237"/>
    </row>
    <row r="4" spans="1:10" x14ac:dyDescent="0.3">
      <c r="A4" s="63">
        <v>1</v>
      </c>
      <c r="B4" s="37" t="s">
        <v>51</v>
      </c>
      <c r="C4" s="5"/>
      <c r="D4" s="37" t="s">
        <v>88</v>
      </c>
      <c r="E4" s="44" t="s">
        <v>159</v>
      </c>
      <c r="F4" s="45">
        <v>1</v>
      </c>
      <c r="G4" s="45">
        <v>1</v>
      </c>
      <c r="H4" s="47">
        <f t="shared" ref="H4:H72" si="0">SUM(F4:G4)</f>
        <v>2</v>
      </c>
      <c r="I4" s="62">
        <v>100</v>
      </c>
      <c r="J4" s="64" t="s">
        <v>222</v>
      </c>
    </row>
    <row r="5" spans="1:10" x14ac:dyDescent="0.3">
      <c r="A5" s="63">
        <v>2</v>
      </c>
      <c r="B5" s="37" t="s">
        <v>52</v>
      </c>
      <c r="C5" s="5"/>
      <c r="D5" s="37" t="s">
        <v>88</v>
      </c>
      <c r="E5" s="44" t="s">
        <v>159</v>
      </c>
      <c r="F5" s="45">
        <v>1</v>
      </c>
      <c r="G5" s="45">
        <v>1</v>
      </c>
      <c r="H5" s="47">
        <f t="shared" si="0"/>
        <v>2</v>
      </c>
      <c r="I5" s="62">
        <v>100</v>
      </c>
      <c r="J5" s="64" t="s">
        <v>222</v>
      </c>
    </row>
    <row r="6" spans="1:10" x14ac:dyDescent="0.3">
      <c r="A6" s="63">
        <v>3</v>
      </c>
      <c r="B6" s="37" t="s">
        <v>53</v>
      </c>
      <c r="C6" s="5"/>
      <c r="D6" s="37" t="s">
        <v>88</v>
      </c>
      <c r="E6" s="44" t="s">
        <v>159</v>
      </c>
      <c r="F6" s="45">
        <v>1</v>
      </c>
      <c r="G6" s="45">
        <v>1</v>
      </c>
      <c r="H6" s="47">
        <f t="shared" si="0"/>
        <v>2</v>
      </c>
      <c r="I6" s="62">
        <v>100</v>
      </c>
      <c r="J6" s="64" t="s">
        <v>222</v>
      </c>
    </row>
    <row r="7" spans="1:10" x14ac:dyDescent="0.3">
      <c r="A7" s="63">
        <v>4</v>
      </c>
      <c r="B7" s="37" t="s">
        <v>277</v>
      </c>
      <c r="C7" s="5"/>
      <c r="D7" s="37" t="s">
        <v>88</v>
      </c>
      <c r="E7" s="44" t="s">
        <v>159</v>
      </c>
      <c r="F7" s="45">
        <v>1</v>
      </c>
      <c r="G7" s="45">
        <v>1</v>
      </c>
      <c r="H7" s="47">
        <f t="shared" si="0"/>
        <v>2</v>
      </c>
      <c r="I7" s="62">
        <v>100</v>
      </c>
      <c r="J7" s="64" t="s">
        <v>222</v>
      </c>
    </row>
    <row r="8" spans="1:10" x14ac:dyDescent="0.3">
      <c r="A8" s="63">
        <v>5</v>
      </c>
      <c r="B8" s="37" t="s">
        <v>370</v>
      </c>
      <c r="C8" s="5"/>
      <c r="D8" s="37" t="s">
        <v>38</v>
      </c>
      <c r="E8" s="44" t="s">
        <v>160</v>
      </c>
      <c r="F8" s="45">
        <v>1</v>
      </c>
      <c r="G8" s="45">
        <v>1</v>
      </c>
      <c r="H8" s="47">
        <f t="shared" si="0"/>
        <v>2</v>
      </c>
      <c r="I8" s="62">
        <v>100</v>
      </c>
      <c r="J8" s="64" t="s">
        <v>222</v>
      </c>
    </row>
    <row r="9" spans="1:10" x14ac:dyDescent="0.3">
      <c r="A9" s="63">
        <v>6</v>
      </c>
      <c r="B9" s="37" t="s">
        <v>58</v>
      </c>
      <c r="C9" s="5"/>
      <c r="D9" s="37" t="s">
        <v>38</v>
      </c>
      <c r="E9" s="44" t="s">
        <v>160</v>
      </c>
      <c r="F9" s="45">
        <v>1</v>
      </c>
      <c r="G9" s="45">
        <v>1</v>
      </c>
      <c r="H9" s="47">
        <f t="shared" si="0"/>
        <v>2</v>
      </c>
      <c r="I9" s="62">
        <v>100</v>
      </c>
      <c r="J9" s="64" t="s">
        <v>222</v>
      </c>
    </row>
    <row r="10" spans="1:10" x14ac:dyDescent="0.3">
      <c r="A10" s="63">
        <v>7</v>
      </c>
      <c r="B10" s="37" t="s">
        <v>233</v>
      </c>
      <c r="C10" s="5"/>
      <c r="D10" s="37" t="s">
        <v>88</v>
      </c>
      <c r="E10" s="44" t="s">
        <v>161</v>
      </c>
      <c r="F10" s="45">
        <v>1</v>
      </c>
      <c r="G10" s="45">
        <v>1</v>
      </c>
      <c r="H10" s="47">
        <f t="shared" si="0"/>
        <v>2</v>
      </c>
      <c r="I10" s="62">
        <v>100</v>
      </c>
      <c r="J10" s="64" t="s">
        <v>222</v>
      </c>
    </row>
    <row r="11" spans="1:10" x14ac:dyDescent="0.3">
      <c r="A11" s="63">
        <v>8</v>
      </c>
      <c r="B11" s="37" t="s">
        <v>45</v>
      </c>
      <c r="C11" s="5"/>
      <c r="D11" s="37" t="s">
        <v>38</v>
      </c>
      <c r="E11" s="44" t="s">
        <v>161</v>
      </c>
      <c r="F11" s="45">
        <v>1</v>
      </c>
      <c r="G11" s="45">
        <v>1</v>
      </c>
      <c r="H11" s="47">
        <f t="shared" si="0"/>
        <v>2</v>
      </c>
      <c r="I11" s="62">
        <v>100</v>
      </c>
      <c r="J11" s="64" t="s">
        <v>222</v>
      </c>
    </row>
    <row r="12" spans="1:10" x14ac:dyDescent="0.3">
      <c r="A12" s="63">
        <v>9</v>
      </c>
      <c r="B12" s="37" t="s">
        <v>361</v>
      </c>
      <c r="C12" s="5" t="s">
        <v>190</v>
      </c>
      <c r="D12" s="37" t="s">
        <v>38</v>
      </c>
      <c r="E12" s="44" t="s">
        <v>161</v>
      </c>
      <c r="F12" s="45">
        <v>1</v>
      </c>
      <c r="G12" s="45">
        <v>1</v>
      </c>
      <c r="H12" s="47">
        <f t="shared" si="0"/>
        <v>2</v>
      </c>
      <c r="I12" s="62">
        <v>100</v>
      </c>
      <c r="J12" s="64" t="s">
        <v>222</v>
      </c>
    </row>
    <row r="13" spans="1:10" x14ac:dyDescent="0.3">
      <c r="A13" s="63">
        <v>10</v>
      </c>
      <c r="B13" s="37" t="s">
        <v>362</v>
      </c>
      <c r="C13" s="5" t="s">
        <v>190</v>
      </c>
      <c r="D13" s="37" t="s">
        <v>38</v>
      </c>
      <c r="E13" s="44" t="s">
        <v>161</v>
      </c>
      <c r="F13" s="45">
        <v>1</v>
      </c>
      <c r="G13" s="45">
        <v>1</v>
      </c>
      <c r="H13" s="47">
        <f t="shared" si="0"/>
        <v>2</v>
      </c>
      <c r="I13" s="62">
        <v>100</v>
      </c>
      <c r="J13" s="64" t="s">
        <v>222</v>
      </c>
    </row>
    <row r="14" spans="1:10" x14ac:dyDescent="0.3">
      <c r="A14" s="63">
        <v>11</v>
      </c>
      <c r="B14" s="37" t="s">
        <v>46</v>
      </c>
      <c r="C14" s="5"/>
      <c r="D14" s="37" t="s">
        <v>38</v>
      </c>
      <c r="E14" s="44" t="s">
        <v>161</v>
      </c>
      <c r="F14" s="45">
        <v>1</v>
      </c>
      <c r="G14" s="45">
        <v>1</v>
      </c>
      <c r="H14" s="47">
        <f t="shared" si="0"/>
        <v>2</v>
      </c>
      <c r="I14" s="62">
        <v>100</v>
      </c>
      <c r="J14" s="64"/>
    </row>
    <row r="15" spans="1:10" x14ac:dyDescent="0.3">
      <c r="A15" s="63">
        <v>12</v>
      </c>
      <c r="B15" s="37" t="s">
        <v>47</v>
      </c>
      <c r="C15" s="5"/>
      <c r="D15" s="37" t="s">
        <v>88</v>
      </c>
      <c r="E15" s="44" t="s">
        <v>161</v>
      </c>
      <c r="F15" s="45">
        <v>1</v>
      </c>
      <c r="G15" s="45">
        <v>1</v>
      </c>
      <c r="H15" s="47">
        <f t="shared" si="0"/>
        <v>2</v>
      </c>
      <c r="I15" s="62"/>
      <c r="J15" s="64" t="s">
        <v>222</v>
      </c>
    </row>
    <row r="16" spans="1:10" x14ac:dyDescent="0.3">
      <c r="A16" s="63">
        <v>13</v>
      </c>
      <c r="B16" s="37" t="s">
        <v>105</v>
      </c>
      <c r="C16" s="5"/>
      <c r="D16" s="37" t="s">
        <v>38</v>
      </c>
      <c r="E16" s="44" t="s">
        <v>148</v>
      </c>
      <c r="F16" s="45">
        <v>1</v>
      </c>
      <c r="G16" s="45">
        <v>1</v>
      </c>
      <c r="H16" s="47">
        <f t="shared" si="0"/>
        <v>2</v>
      </c>
      <c r="I16" s="62" t="s">
        <v>313</v>
      </c>
      <c r="J16" s="64" t="s">
        <v>222</v>
      </c>
    </row>
    <row r="17" spans="1:10" x14ac:dyDescent="0.3">
      <c r="A17" s="63">
        <v>14</v>
      </c>
      <c r="B17" s="37" t="s">
        <v>139</v>
      </c>
      <c r="C17" s="5"/>
      <c r="D17" s="37" t="s">
        <v>38</v>
      </c>
      <c r="E17" s="44" t="s">
        <v>148</v>
      </c>
      <c r="F17" s="45">
        <v>1</v>
      </c>
      <c r="G17" s="45">
        <v>1</v>
      </c>
      <c r="H17" s="47">
        <f t="shared" si="0"/>
        <v>2</v>
      </c>
      <c r="I17" s="62" t="s">
        <v>313</v>
      </c>
      <c r="J17" s="64" t="s">
        <v>222</v>
      </c>
    </row>
    <row r="18" spans="1:10" x14ac:dyDescent="0.3">
      <c r="A18" s="63">
        <v>15</v>
      </c>
      <c r="B18" s="37" t="s">
        <v>422</v>
      </c>
      <c r="C18" s="5"/>
      <c r="D18" s="37" t="s">
        <v>38</v>
      </c>
      <c r="E18" s="44" t="s">
        <v>148</v>
      </c>
      <c r="F18" s="45">
        <v>1</v>
      </c>
      <c r="G18" s="45">
        <v>1</v>
      </c>
      <c r="H18" s="47">
        <f t="shared" si="0"/>
        <v>2</v>
      </c>
      <c r="I18" s="62" t="s">
        <v>313</v>
      </c>
      <c r="J18" s="64" t="s">
        <v>222</v>
      </c>
    </row>
    <row r="19" spans="1:10" x14ac:dyDescent="0.3">
      <c r="A19" s="63">
        <v>16</v>
      </c>
      <c r="B19" s="37" t="s">
        <v>90</v>
      </c>
      <c r="C19" s="5"/>
      <c r="D19" s="37" t="s">
        <v>38</v>
      </c>
      <c r="E19" s="44" t="s">
        <v>148</v>
      </c>
      <c r="F19" s="45">
        <v>1</v>
      </c>
      <c r="G19" s="45">
        <v>1</v>
      </c>
      <c r="H19" s="47">
        <f t="shared" si="0"/>
        <v>2</v>
      </c>
      <c r="I19" s="62" t="s">
        <v>313</v>
      </c>
      <c r="J19" s="64" t="s">
        <v>222</v>
      </c>
    </row>
    <row r="20" spans="1:10" x14ac:dyDescent="0.3">
      <c r="A20" s="63">
        <v>17</v>
      </c>
      <c r="B20" s="37" t="s">
        <v>94</v>
      </c>
      <c r="C20" s="5"/>
      <c r="D20" s="37" t="s">
        <v>88</v>
      </c>
      <c r="E20" s="44" t="s">
        <v>162</v>
      </c>
      <c r="F20" s="45">
        <v>1</v>
      </c>
      <c r="G20" s="45">
        <v>1</v>
      </c>
      <c r="H20" s="47">
        <f t="shared" si="0"/>
        <v>2</v>
      </c>
      <c r="I20" s="62"/>
      <c r="J20" s="64"/>
    </row>
    <row r="21" spans="1:10" x14ac:dyDescent="0.3">
      <c r="A21" s="63">
        <v>18</v>
      </c>
      <c r="B21" s="37" t="s">
        <v>235</v>
      </c>
      <c r="C21" s="5"/>
      <c r="D21" s="37" t="s">
        <v>88</v>
      </c>
      <c r="E21" s="44" t="s">
        <v>170</v>
      </c>
      <c r="F21" s="45">
        <v>1</v>
      </c>
      <c r="G21" s="45">
        <v>1</v>
      </c>
      <c r="H21" s="47">
        <f t="shared" si="0"/>
        <v>2</v>
      </c>
      <c r="I21" s="62"/>
      <c r="J21" s="64"/>
    </row>
    <row r="22" spans="1:10" x14ac:dyDescent="0.3">
      <c r="A22" s="63">
        <v>19</v>
      </c>
      <c r="B22" s="37" t="s">
        <v>85</v>
      </c>
      <c r="C22" s="5"/>
      <c r="D22" s="37" t="s">
        <v>88</v>
      </c>
      <c r="E22" s="44" t="s">
        <v>164</v>
      </c>
      <c r="F22" s="45">
        <v>1</v>
      </c>
      <c r="G22" s="45">
        <v>1</v>
      </c>
      <c r="H22" s="47">
        <f t="shared" si="0"/>
        <v>2</v>
      </c>
      <c r="I22" s="62">
        <v>100</v>
      </c>
      <c r="J22" s="64" t="s">
        <v>222</v>
      </c>
    </row>
    <row r="23" spans="1:10" x14ac:dyDescent="0.3">
      <c r="A23" s="63">
        <v>20</v>
      </c>
      <c r="B23" s="37" t="s">
        <v>109</v>
      </c>
      <c r="C23" s="5"/>
      <c r="D23" s="37" t="s">
        <v>88</v>
      </c>
      <c r="E23" s="44" t="s">
        <v>147</v>
      </c>
      <c r="F23" s="45">
        <v>1</v>
      </c>
      <c r="G23" s="45">
        <v>1</v>
      </c>
      <c r="H23" s="47">
        <f t="shared" si="0"/>
        <v>2</v>
      </c>
      <c r="I23" s="62" t="s">
        <v>313</v>
      </c>
      <c r="J23" s="64" t="s">
        <v>222</v>
      </c>
    </row>
    <row r="24" spans="1:10" x14ac:dyDescent="0.3">
      <c r="A24" s="63">
        <v>21</v>
      </c>
      <c r="B24" s="37" t="s">
        <v>110</v>
      </c>
      <c r="C24" s="5"/>
      <c r="D24" s="37" t="s">
        <v>88</v>
      </c>
      <c r="E24" s="44" t="s">
        <v>147</v>
      </c>
      <c r="F24" s="45">
        <v>1</v>
      </c>
      <c r="G24" s="45">
        <v>1</v>
      </c>
      <c r="H24" s="47">
        <f t="shared" si="0"/>
        <v>2</v>
      </c>
      <c r="I24" s="62" t="s">
        <v>313</v>
      </c>
      <c r="J24" s="64" t="s">
        <v>222</v>
      </c>
    </row>
    <row r="25" spans="1:10" x14ac:dyDescent="0.3">
      <c r="A25" s="63">
        <v>22</v>
      </c>
      <c r="B25" s="37" t="s">
        <v>369</v>
      </c>
      <c r="C25" s="5" t="s">
        <v>190</v>
      </c>
      <c r="D25" s="37" t="s">
        <v>38</v>
      </c>
      <c r="E25" s="44" t="s">
        <v>153</v>
      </c>
      <c r="F25" s="45">
        <v>1</v>
      </c>
      <c r="G25" s="45">
        <v>1</v>
      </c>
      <c r="H25" s="47">
        <f t="shared" si="0"/>
        <v>2</v>
      </c>
      <c r="I25" s="62" t="s">
        <v>313</v>
      </c>
      <c r="J25" s="64" t="s">
        <v>222</v>
      </c>
    </row>
    <row r="26" spans="1:10" x14ac:dyDescent="0.3">
      <c r="A26" s="63">
        <v>23</v>
      </c>
      <c r="B26" s="37" t="s">
        <v>65</v>
      </c>
      <c r="C26" s="5" t="s">
        <v>190</v>
      </c>
      <c r="D26" s="37" t="s">
        <v>38</v>
      </c>
      <c r="E26" s="44" t="s">
        <v>153</v>
      </c>
      <c r="F26" s="45">
        <v>1</v>
      </c>
      <c r="G26" s="45">
        <v>1</v>
      </c>
      <c r="H26" s="47">
        <f t="shared" si="0"/>
        <v>2</v>
      </c>
      <c r="I26" s="62" t="s">
        <v>313</v>
      </c>
      <c r="J26" s="64"/>
    </row>
    <row r="27" spans="1:10" x14ac:dyDescent="0.3">
      <c r="A27" s="63">
        <v>24</v>
      </c>
      <c r="B27" s="37" t="s">
        <v>89</v>
      </c>
      <c r="C27" s="5"/>
      <c r="D27" s="37" t="s">
        <v>38</v>
      </c>
      <c r="E27" s="44" t="s">
        <v>157</v>
      </c>
      <c r="F27" s="45">
        <v>1</v>
      </c>
      <c r="G27" s="45">
        <v>1</v>
      </c>
      <c r="H27" s="47">
        <f t="shared" si="0"/>
        <v>2</v>
      </c>
      <c r="I27" s="62">
        <v>100</v>
      </c>
      <c r="J27" s="64" t="s">
        <v>222</v>
      </c>
    </row>
    <row r="28" spans="1:10" x14ac:dyDescent="0.3">
      <c r="A28" s="63">
        <v>25</v>
      </c>
      <c r="B28" s="37" t="s">
        <v>286</v>
      </c>
      <c r="C28" s="5"/>
      <c r="D28" s="37" t="s">
        <v>38</v>
      </c>
      <c r="E28" s="44" t="s">
        <v>225</v>
      </c>
      <c r="F28" s="45">
        <v>1</v>
      </c>
      <c r="G28" s="45">
        <v>1</v>
      </c>
      <c r="H28" s="47">
        <f t="shared" si="0"/>
        <v>2</v>
      </c>
      <c r="I28" s="62"/>
      <c r="J28" s="64"/>
    </row>
    <row r="29" spans="1:10" x14ac:dyDescent="0.3">
      <c r="A29" s="63">
        <v>26</v>
      </c>
      <c r="B29" s="37" t="s">
        <v>282</v>
      </c>
      <c r="C29" s="5"/>
      <c r="D29" s="37" t="s">
        <v>88</v>
      </c>
      <c r="E29" s="44" t="s">
        <v>152</v>
      </c>
      <c r="F29" s="45">
        <v>1</v>
      </c>
      <c r="G29" s="45"/>
      <c r="H29" s="47">
        <f t="shared" si="0"/>
        <v>1</v>
      </c>
      <c r="I29" s="62">
        <v>50</v>
      </c>
      <c r="J29" s="64" t="s">
        <v>222</v>
      </c>
    </row>
    <row r="30" spans="1:10" x14ac:dyDescent="0.3">
      <c r="A30" s="63">
        <v>27</v>
      </c>
      <c r="B30" s="37" t="s">
        <v>340</v>
      </c>
      <c r="C30" s="5"/>
      <c r="D30" s="37" t="s">
        <v>88</v>
      </c>
      <c r="E30" s="44" t="s">
        <v>149</v>
      </c>
      <c r="F30" s="45">
        <v>1</v>
      </c>
      <c r="G30" s="45">
        <v>1</v>
      </c>
      <c r="H30" s="47">
        <f t="shared" si="0"/>
        <v>2</v>
      </c>
      <c r="I30" s="62"/>
      <c r="J30" s="64" t="s">
        <v>222</v>
      </c>
    </row>
    <row r="31" spans="1:10" x14ac:dyDescent="0.3">
      <c r="A31" s="63">
        <v>28</v>
      </c>
      <c r="B31" s="37" t="s">
        <v>91</v>
      </c>
      <c r="C31" s="5"/>
      <c r="D31" s="37" t="s">
        <v>88</v>
      </c>
      <c r="E31" s="44" t="s">
        <v>149</v>
      </c>
      <c r="F31" s="45">
        <v>1</v>
      </c>
      <c r="G31" s="45">
        <v>1</v>
      </c>
      <c r="H31" s="47">
        <f t="shared" si="0"/>
        <v>2</v>
      </c>
      <c r="I31" s="62">
        <v>100</v>
      </c>
      <c r="J31" s="64" t="s">
        <v>222</v>
      </c>
    </row>
    <row r="32" spans="1:10" x14ac:dyDescent="0.3">
      <c r="A32" s="63">
        <v>29</v>
      </c>
      <c r="B32" s="37" t="s">
        <v>97</v>
      </c>
      <c r="C32" s="5" t="s">
        <v>190</v>
      </c>
      <c r="D32" s="37" t="s">
        <v>38</v>
      </c>
      <c r="E32" s="44" t="s">
        <v>167</v>
      </c>
      <c r="F32" s="45">
        <v>1</v>
      </c>
      <c r="G32" s="45">
        <v>1</v>
      </c>
      <c r="H32" s="47">
        <f t="shared" si="0"/>
        <v>2</v>
      </c>
      <c r="I32" s="62">
        <v>100</v>
      </c>
      <c r="J32" s="64" t="s">
        <v>222</v>
      </c>
    </row>
    <row r="33" spans="1:10" x14ac:dyDescent="0.3">
      <c r="A33" s="63">
        <v>30</v>
      </c>
      <c r="B33" s="37" t="s">
        <v>274</v>
      </c>
      <c r="C33" s="5" t="s">
        <v>190</v>
      </c>
      <c r="D33" s="37" t="s">
        <v>38</v>
      </c>
      <c r="E33" s="44" t="s">
        <v>172</v>
      </c>
      <c r="F33" s="45">
        <v>1</v>
      </c>
      <c r="G33" s="45">
        <v>1</v>
      </c>
      <c r="H33" s="47">
        <f t="shared" si="0"/>
        <v>2</v>
      </c>
      <c r="I33" s="62">
        <v>100</v>
      </c>
      <c r="J33" s="64" t="s">
        <v>222</v>
      </c>
    </row>
    <row r="34" spans="1:10" x14ac:dyDescent="0.3">
      <c r="A34" s="63">
        <v>31</v>
      </c>
      <c r="B34" s="37" t="s">
        <v>273</v>
      </c>
      <c r="C34" s="5" t="s">
        <v>190</v>
      </c>
      <c r="D34" s="37" t="s">
        <v>38</v>
      </c>
      <c r="E34" s="44" t="s">
        <v>172</v>
      </c>
      <c r="F34" s="45">
        <v>1</v>
      </c>
      <c r="G34" s="45">
        <v>1</v>
      </c>
      <c r="H34" s="47">
        <f t="shared" si="0"/>
        <v>2</v>
      </c>
      <c r="I34" s="62">
        <v>100</v>
      </c>
      <c r="J34" s="64" t="s">
        <v>222</v>
      </c>
    </row>
    <row r="35" spans="1:10" x14ac:dyDescent="0.3">
      <c r="A35" s="63">
        <v>32</v>
      </c>
      <c r="B35" s="37" t="s">
        <v>96</v>
      </c>
      <c r="C35" s="5"/>
      <c r="D35" s="37" t="s">
        <v>38</v>
      </c>
      <c r="E35" s="44" t="s">
        <v>151</v>
      </c>
      <c r="F35" s="45">
        <v>1</v>
      </c>
      <c r="G35" s="45">
        <v>1</v>
      </c>
      <c r="H35" s="47">
        <f t="shared" si="0"/>
        <v>2</v>
      </c>
      <c r="I35" s="62">
        <v>70</v>
      </c>
      <c r="J35" s="64" t="s">
        <v>222</v>
      </c>
    </row>
    <row r="36" spans="1:10" x14ac:dyDescent="0.3">
      <c r="A36" s="63">
        <v>33</v>
      </c>
      <c r="B36" s="37" t="s">
        <v>135</v>
      </c>
      <c r="C36" s="5"/>
      <c r="D36" s="37" t="s">
        <v>38</v>
      </c>
      <c r="E36" s="44" t="s">
        <v>146</v>
      </c>
      <c r="F36" s="45">
        <v>1</v>
      </c>
      <c r="G36" s="45">
        <v>1</v>
      </c>
      <c r="H36" s="47">
        <f t="shared" si="0"/>
        <v>2</v>
      </c>
      <c r="I36" s="62">
        <v>100</v>
      </c>
      <c r="J36" s="64" t="s">
        <v>222</v>
      </c>
    </row>
    <row r="37" spans="1:10" x14ac:dyDescent="0.3">
      <c r="A37" s="63">
        <v>34</v>
      </c>
      <c r="B37" s="37" t="s">
        <v>188</v>
      </c>
      <c r="C37" s="5"/>
      <c r="D37" s="37" t="s">
        <v>38</v>
      </c>
      <c r="E37" s="44" t="s">
        <v>187</v>
      </c>
      <c r="F37" s="45">
        <v>1</v>
      </c>
      <c r="G37" s="45">
        <v>1</v>
      </c>
      <c r="H37" s="47">
        <f t="shared" si="0"/>
        <v>2</v>
      </c>
      <c r="I37" s="62">
        <v>100</v>
      </c>
      <c r="J37" s="64" t="s">
        <v>222</v>
      </c>
    </row>
    <row r="38" spans="1:10" x14ac:dyDescent="0.3">
      <c r="A38" s="63">
        <v>35</v>
      </c>
      <c r="B38" s="37" t="s">
        <v>193</v>
      </c>
      <c r="C38" s="5"/>
      <c r="D38" s="37" t="s">
        <v>88</v>
      </c>
      <c r="E38" s="44" t="s">
        <v>192</v>
      </c>
      <c r="F38" s="45">
        <v>1</v>
      </c>
      <c r="G38" s="45">
        <v>1</v>
      </c>
      <c r="H38" s="47">
        <f t="shared" si="0"/>
        <v>2</v>
      </c>
      <c r="I38" s="62">
        <v>100</v>
      </c>
      <c r="J38" s="64" t="s">
        <v>222</v>
      </c>
    </row>
    <row r="39" spans="1:10" x14ac:dyDescent="0.3">
      <c r="A39" s="63">
        <v>36</v>
      </c>
      <c r="B39" s="37" t="s">
        <v>63</v>
      </c>
      <c r="C39" s="5"/>
      <c r="D39" s="37" t="s">
        <v>57</v>
      </c>
      <c r="E39" s="44" t="s">
        <v>195</v>
      </c>
      <c r="F39" s="45">
        <v>1</v>
      </c>
      <c r="G39" s="45">
        <v>1</v>
      </c>
      <c r="H39" s="47">
        <f t="shared" si="0"/>
        <v>2</v>
      </c>
      <c r="I39" s="62">
        <v>100</v>
      </c>
      <c r="J39" s="64" t="s">
        <v>222</v>
      </c>
    </row>
    <row r="40" spans="1:10" x14ac:dyDescent="0.3">
      <c r="A40" s="63">
        <v>37</v>
      </c>
      <c r="B40" s="37" t="s">
        <v>194</v>
      </c>
      <c r="C40" s="5"/>
      <c r="D40" s="37" t="s">
        <v>57</v>
      </c>
      <c r="E40" s="44" t="s">
        <v>195</v>
      </c>
      <c r="F40" s="45">
        <v>1</v>
      </c>
      <c r="G40" s="45">
        <v>1</v>
      </c>
      <c r="H40" s="47">
        <f t="shared" si="0"/>
        <v>2</v>
      </c>
      <c r="I40" s="62" t="s">
        <v>313</v>
      </c>
      <c r="J40" s="64" t="s">
        <v>222</v>
      </c>
    </row>
    <row r="41" spans="1:10" x14ac:dyDescent="0.3">
      <c r="A41" s="63">
        <v>38</v>
      </c>
      <c r="B41" s="37" t="s">
        <v>232</v>
      </c>
      <c r="C41" s="5"/>
      <c r="D41" s="37" t="s">
        <v>88</v>
      </c>
      <c r="E41" s="44" t="s">
        <v>287</v>
      </c>
      <c r="F41" s="45">
        <v>1</v>
      </c>
      <c r="G41" s="45">
        <v>1</v>
      </c>
      <c r="H41" s="47">
        <f t="shared" si="0"/>
        <v>2</v>
      </c>
      <c r="I41" s="62">
        <v>100</v>
      </c>
      <c r="J41" s="64" t="s">
        <v>222</v>
      </c>
    </row>
    <row r="42" spans="1:10" x14ac:dyDescent="0.3">
      <c r="A42" s="63">
        <v>39</v>
      </c>
      <c r="B42" s="37" t="s">
        <v>233</v>
      </c>
      <c r="C42" s="5"/>
      <c r="D42" s="37" t="s">
        <v>88</v>
      </c>
      <c r="E42" s="44" t="s">
        <v>287</v>
      </c>
      <c r="F42" s="45">
        <v>1</v>
      </c>
      <c r="G42" s="45">
        <v>1</v>
      </c>
      <c r="H42" s="47">
        <f t="shared" si="0"/>
        <v>2</v>
      </c>
      <c r="I42" s="62">
        <v>100</v>
      </c>
      <c r="J42" s="64" t="s">
        <v>222</v>
      </c>
    </row>
    <row r="43" spans="1:10" x14ac:dyDescent="0.3">
      <c r="A43" s="63">
        <v>40</v>
      </c>
      <c r="B43" s="37" t="s">
        <v>288</v>
      </c>
      <c r="C43" s="5"/>
      <c r="D43" s="37" t="s">
        <v>88</v>
      </c>
      <c r="E43" s="44" t="s">
        <v>267</v>
      </c>
      <c r="F43" s="45">
        <v>1</v>
      </c>
      <c r="G43" s="45">
        <v>1</v>
      </c>
      <c r="H43" s="47">
        <f t="shared" si="0"/>
        <v>2</v>
      </c>
      <c r="I43" s="62">
        <v>100</v>
      </c>
      <c r="J43" s="64" t="s">
        <v>222</v>
      </c>
    </row>
    <row r="44" spans="1:10" x14ac:dyDescent="0.3">
      <c r="A44" s="63">
        <v>41</v>
      </c>
      <c r="B44" s="49" t="s">
        <v>268</v>
      </c>
      <c r="C44" s="5"/>
      <c r="D44" s="37" t="s">
        <v>38</v>
      </c>
      <c r="E44" s="44" t="s">
        <v>267</v>
      </c>
      <c r="F44" s="45">
        <v>1</v>
      </c>
      <c r="G44" s="45">
        <v>1</v>
      </c>
      <c r="H44" s="47">
        <f t="shared" si="0"/>
        <v>2</v>
      </c>
      <c r="I44" s="62">
        <v>100</v>
      </c>
      <c r="J44" s="64" t="s">
        <v>222</v>
      </c>
    </row>
    <row r="45" spans="1:10" x14ac:dyDescent="0.3">
      <c r="A45" s="63">
        <v>42</v>
      </c>
      <c r="B45" s="49" t="s">
        <v>290</v>
      </c>
      <c r="C45" s="5"/>
      <c r="D45" s="37" t="s">
        <v>88</v>
      </c>
      <c r="E45" s="44" t="s">
        <v>289</v>
      </c>
      <c r="F45" s="45">
        <v>1</v>
      </c>
      <c r="G45" s="45">
        <v>1</v>
      </c>
      <c r="H45" s="47">
        <f t="shared" si="0"/>
        <v>2</v>
      </c>
      <c r="I45" s="62" t="s">
        <v>313</v>
      </c>
      <c r="J45" s="64" t="s">
        <v>222</v>
      </c>
    </row>
    <row r="46" spans="1:10" x14ac:dyDescent="0.3">
      <c r="A46" s="63">
        <v>43</v>
      </c>
      <c r="B46" s="37" t="s">
        <v>291</v>
      </c>
      <c r="C46" s="5"/>
      <c r="D46" s="37" t="s">
        <v>88</v>
      </c>
      <c r="E46" s="55" t="s">
        <v>140</v>
      </c>
      <c r="F46" s="45">
        <v>1</v>
      </c>
      <c r="G46" s="45">
        <v>1</v>
      </c>
      <c r="H46" s="47">
        <f t="shared" si="0"/>
        <v>2</v>
      </c>
      <c r="I46" s="62">
        <v>100</v>
      </c>
      <c r="J46" s="64" t="s">
        <v>222</v>
      </c>
    </row>
    <row r="47" spans="1:10" x14ac:dyDescent="0.3">
      <c r="A47" s="63">
        <v>44</v>
      </c>
      <c r="B47" s="37" t="s">
        <v>124</v>
      </c>
      <c r="C47" s="5"/>
      <c r="D47" s="37" t="s">
        <v>38</v>
      </c>
      <c r="E47" s="55" t="s">
        <v>179</v>
      </c>
      <c r="F47" s="45">
        <v>1</v>
      </c>
      <c r="G47" s="45">
        <v>1</v>
      </c>
      <c r="H47" s="47">
        <f t="shared" si="0"/>
        <v>2</v>
      </c>
      <c r="I47" s="62">
        <v>100</v>
      </c>
      <c r="J47" s="64" t="s">
        <v>222</v>
      </c>
    </row>
    <row r="48" spans="1:10" x14ac:dyDescent="0.3">
      <c r="A48" s="63">
        <v>45</v>
      </c>
      <c r="B48" s="37" t="s">
        <v>178</v>
      </c>
      <c r="C48" s="5"/>
      <c r="D48" s="37" t="s">
        <v>38</v>
      </c>
      <c r="E48" s="44" t="s">
        <v>177</v>
      </c>
      <c r="F48" s="45">
        <v>1</v>
      </c>
      <c r="G48" s="45">
        <v>1</v>
      </c>
      <c r="H48" s="47">
        <f t="shared" si="0"/>
        <v>2</v>
      </c>
      <c r="I48" s="62">
        <v>100</v>
      </c>
      <c r="J48" s="64" t="s">
        <v>222</v>
      </c>
    </row>
    <row r="49" spans="1:10" x14ac:dyDescent="0.3">
      <c r="A49" s="63">
        <v>46</v>
      </c>
      <c r="B49" s="37" t="s">
        <v>176</v>
      </c>
      <c r="C49" s="5"/>
      <c r="D49" s="37" t="s">
        <v>38</v>
      </c>
      <c r="E49" s="44" t="s">
        <v>177</v>
      </c>
      <c r="F49" s="45">
        <v>1</v>
      </c>
      <c r="G49" s="45">
        <v>1</v>
      </c>
      <c r="H49" s="47">
        <f t="shared" si="0"/>
        <v>2</v>
      </c>
      <c r="I49" s="62">
        <v>100</v>
      </c>
      <c r="J49" s="64" t="s">
        <v>222</v>
      </c>
    </row>
    <row r="50" spans="1:10" x14ac:dyDescent="0.3">
      <c r="A50" s="63">
        <v>47</v>
      </c>
      <c r="B50" s="37" t="s">
        <v>292</v>
      </c>
      <c r="C50" s="5"/>
      <c r="D50" s="37" t="s">
        <v>88</v>
      </c>
      <c r="E50" s="55" t="s">
        <v>293</v>
      </c>
      <c r="F50" s="45">
        <v>1</v>
      </c>
      <c r="G50" s="45">
        <v>1</v>
      </c>
      <c r="H50" s="47">
        <f t="shared" si="0"/>
        <v>2</v>
      </c>
      <c r="I50" s="62">
        <v>100</v>
      </c>
      <c r="J50" s="64" t="s">
        <v>222</v>
      </c>
    </row>
    <row r="51" spans="1:10" x14ac:dyDescent="0.3">
      <c r="A51" s="63">
        <v>48</v>
      </c>
      <c r="B51" s="37" t="s">
        <v>317</v>
      </c>
      <c r="C51" s="5"/>
      <c r="D51" s="37" t="s">
        <v>88</v>
      </c>
      <c r="E51" s="55" t="s">
        <v>315</v>
      </c>
      <c r="F51" s="45">
        <v>1</v>
      </c>
      <c r="G51" s="45">
        <v>1</v>
      </c>
      <c r="H51" s="47">
        <f t="shared" si="0"/>
        <v>2</v>
      </c>
      <c r="I51" s="62">
        <v>100</v>
      </c>
      <c r="J51" s="64" t="s">
        <v>222</v>
      </c>
    </row>
    <row r="52" spans="1:10" x14ac:dyDescent="0.3">
      <c r="A52" s="63">
        <v>49</v>
      </c>
      <c r="B52" s="37" t="s">
        <v>318</v>
      </c>
      <c r="C52" s="5"/>
      <c r="D52" s="37" t="s">
        <v>88</v>
      </c>
      <c r="E52" s="55" t="s">
        <v>315</v>
      </c>
      <c r="F52" s="45">
        <v>1</v>
      </c>
      <c r="G52" s="45">
        <v>1</v>
      </c>
      <c r="H52" s="47">
        <f t="shared" si="0"/>
        <v>2</v>
      </c>
      <c r="I52" s="62">
        <v>100</v>
      </c>
      <c r="J52" s="64" t="s">
        <v>222</v>
      </c>
    </row>
    <row r="53" spans="1:10" x14ac:dyDescent="0.3">
      <c r="A53" s="63">
        <v>50</v>
      </c>
      <c r="B53" s="37" t="s">
        <v>319</v>
      </c>
      <c r="C53" s="5"/>
      <c r="D53" s="37" t="s">
        <v>88</v>
      </c>
      <c r="E53" s="55" t="s">
        <v>316</v>
      </c>
      <c r="F53" s="45">
        <v>1</v>
      </c>
      <c r="G53" s="45">
        <v>1</v>
      </c>
      <c r="H53" s="47">
        <f t="shared" si="0"/>
        <v>2</v>
      </c>
      <c r="I53" s="62">
        <v>100</v>
      </c>
      <c r="J53" s="64" t="s">
        <v>222</v>
      </c>
    </row>
    <row r="54" spans="1:10" x14ac:dyDescent="0.3">
      <c r="A54" s="63">
        <v>51</v>
      </c>
      <c r="B54" s="37" t="s">
        <v>351</v>
      </c>
      <c r="C54" s="5"/>
      <c r="D54" s="37" t="s">
        <v>88</v>
      </c>
      <c r="E54" s="55" t="s">
        <v>356</v>
      </c>
      <c r="F54" s="45">
        <v>1</v>
      </c>
      <c r="G54" s="45">
        <v>0</v>
      </c>
      <c r="H54" s="47">
        <f t="shared" si="0"/>
        <v>1</v>
      </c>
      <c r="I54" s="62"/>
      <c r="J54" s="64" t="s">
        <v>222</v>
      </c>
    </row>
    <row r="55" spans="1:10" x14ac:dyDescent="0.3">
      <c r="A55" s="63">
        <v>52</v>
      </c>
      <c r="B55" s="37" t="s">
        <v>337</v>
      </c>
      <c r="C55" s="5"/>
      <c r="D55" s="37" t="s">
        <v>38</v>
      </c>
      <c r="E55" s="55" t="s">
        <v>168</v>
      </c>
      <c r="F55" s="45">
        <v>1</v>
      </c>
      <c r="G55" s="45">
        <v>1</v>
      </c>
      <c r="H55" s="47">
        <f t="shared" si="0"/>
        <v>2</v>
      </c>
      <c r="I55" s="62" t="s">
        <v>313</v>
      </c>
      <c r="J55" s="64" t="s">
        <v>222</v>
      </c>
    </row>
    <row r="56" spans="1:10" x14ac:dyDescent="0.3">
      <c r="A56" s="63">
        <v>53</v>
      </c>
      <c r="B56" s="37" t="s">
        <v>247</v>
      </c>
      <c r="C56" s="5"/>
      <c r="D56" s="37" t="s">
        <v>38</v>
      </c>
      <c r="E56" s="55" t="s">
        <v>168</v>
      </c>
      <c r="F56" s="45">
        <v>1</v>
      </c>
      <c r="G56" s="45">
        <v>1</v>
      </c>
      <c r="H56" s="47">
        <f t="shared" si="0"/>
        <v>2</v>
      </c>
      <c r="I56" s="62" t="s">
        <v>313</v>
      </c>
      <c r="J56" s="64" t="s">
        <v>222</v>
      </c>
    </row>
    <row r="57" spans="1:10" x14ac:dyDescent="0.3">
      <c r="A57" s="63">
        <v>54</v>
      </c>
      <c r="B57" s="37" t="s">
        <v>387</v>
      </c>
      <c r="C57" s="5"/>
      <c r="D57" s="37" t="s">
        <v>88</v>
      </c>
      <c r="E57" s="55" t="s">
        <v>349</v>
      </c>
      <c r="F57" s="45">
        <v>1</v>
      </c>
      <c r="G57" s="45">
        <v>1</v>
      </c>
      <c r="H57" s="47">
        <f t="shared" si="0"/>
        <v>2</v>
      </c>
      <c r="I57" s="62">
        <v>100</v>
      </c>
      <c r="J57" s="64" t="s">
        <v>222</v>
      </c>
    </row>
    <row r="58" spans="1:10" x14ac:dyDescent="0.3">
      <c r="A58" s="63">
        <v>55</v>
      </c>
      <c r="B58" s="37" t="s">
        <v>420</v>
      </c>
      <c r="C58" s="5"/>
      <c r="D58" s="37" t="s">
        <v>88</v>
      </c>
      <c r="E58" s="55" t="s">
        <v>419</v>
      </c>
      <c r="F58" s="45">
        <v>1</v>
      </c>
      <c r="G58" s="45">
        <v>1</v>
      </c>
      <c r="H58" s="47">
        <f t="shared" si="0"/>
        <v>2</v>
      </c>
      <c r="I58" s="62">
        <v>100</v>
      </c>
      <c r="J58" s="64" t="s">
        <v>222</v>
      </c>
    </row>
    <row r="59" spans="1:10" x14ac:dyDescent="0.3">
      <c r="A59" s="63">
        <v>56</v>
      </c>
      <c r="B59" s="37" t="s">
        <v>421</v>
      </c>
      <c r="C59" s="5"/>
      <c r="D59" s="37" t="s">
        <v>88</v>
      </c>
      <c r="E59" s="55" t="s">
        <v>419</v>
      </c>
      <c r="F59" s="45">
        <v>1</v>
      </c>
      <c r="G59" s="45">
        <v>1</v>
      </c>
      <c r="H59" s="47">
        <f t="shared" si="0"/>
        <v>2</v>
      </c>
      <c r="I59" s="62">
        <v>100</v>
      </c>
      <c r="J59" s="64"/>
    </row>
    <row r="60" spans="1:10" x14ac:dyDescent="0.3">
      <c r="A60" s="63">
        <v>57</v>
      </c>
      <c r="B60" s="37" t="s">
        <v>400</v>
      </c>
      <c r="C60" s="5"/>
      <c r="D60" s="37" t="s">
        <v>88</v>
      </c>
      <c r="E60" s="55" t="s">
        <v>390</v>
      </c>
      <c r="F60" s="45">
        <v>1</v>
      </c>
      <c r="G60" s="45">
        <v>1</v>
      </c>
      <c r="H60" s="47">
        <f t="shared" si="0"/>
        <v>2</v>
      </c>
      <c r="I60" s="62">
        <v>100</v>
      </c>
      <c r="J60" s="64" t="s">
        <v>222</v>
      </c>
    </row>
    <row r="61" spans="1:10" x14ac:dyDescent="0.3">
      <c r="A61" s="63">
        <v>58</v>
      </c>
      <c r="B61" s="37" t="s">
        <v>403</v>
      </c>
      <c r="C61" s="5"/>
      <c r="D61" s="37" t="s">
        <v>38</v>
      </c>
      <c r="E61" s="55" t="s">
        <v>390</v>
      </c>
      <c r="F61" s="46">
        <v>1</v>
      </c>
      <c r="G61" s="46">
        <v>1</v>
      </c>
      <c r="H61" s="47">
        <f t="shared" si="0"/>
        <v>2</v>
      </c>
      <c r="I61" s="62">
        <v>200</v>
      </c>
      <c r="J61" s="64" t="s">
        <v>222</v>
      </c>
    </row>
    <row r="62" spans="1:10" x14ac:dyDescent="0.3">
      <c r="A62" s="63">
        <v>59</v>
      </c>
      <c r="B62" s="37" t="s">
        <v>438</v>
      </c>
      <c r="C62" s="5"/>
      <c r="D62" s="37" t="s">
        <v>88</v>
      </c>
      <c r="E62" s="55" t="s">
        <v>437</v>
      </c>
      <c r="F62" s="46">
        <v>1</v>
      </c>
      <c r="G62" s="46">
        <v>1</v>
      </c>
      <c r="H62" s="47">
        <f t="shared" si="0"/>
        <v>2</v>
      </c>
      <c r="I62" s="62">
        <v>100</v>
      </c>
      <c r="J62" s="64"/>
    </row>
    <row r="63" spans="1:10" x14ac:dyDescent="0.3">
      <c r="A63" s="63">
        <v>60</v>
      </c>
      <c r="B63" s="37" t="s">
        <v>386</v>
      </c>
      <c r="C63" s="37"/>
      <c r="D63" s="37" t="s">
        <v>88</v>
      </c>
      <c r="E63" s="55" t="s">
        <v>349</v>
      </c>
      <c r="F63" s="46">
        <v>2</v>
      </c>
      <c r="G63" s="46">
        <v>2</v>
      </c>
      <c r="H63" s="47">
        <f t="shared" si="0"/>
        <v>4</v>
      </c>
      <c r="I63" s="62">
        <v>200</v>
      </c>
      <c r="J63" s="64" t="s">
        <v>222</v>
      </c>
    </row>
    <row r="64" spans="1:10" x14ac:dyDescent="0.3">
      <c r="A64" s="63">
        <v>61</v>
      </c>
      <c r="B64" s="37" t="s">
        <v>458</v>
      </c>
      <c r="C64" s="37"/>
      <c r="D64" s="37" t="s">
        <v>88</v>
      </c>
      <c r="E64" s="55" t="s">
        <v>349</v>
      </c>
      <c r="F64" s="46">
        <v>2</v>
      </c>
      <c r="G64" s="46">
        <v>2</v>
      </c>
      <c r="H64" s="47">
        <f t="shared" si="0"/>
        <v>4</v>
      </c>
      <c r="I64" s="62">
        <v>100</v>
      </c>
      <c r="J64" s="64" t="s">
        <v>222</v>
      </c>
    </row>
    <row r="65" spans="1:10" x14ac:dyDescent="0.3">
      <c r="A65" s="63">
        <v>62</v>
      </c>
      <c r="B65" s="37" t="s">
        <v>460</v>
      </c>
      <c r="C65" s="37" t="s">
        <v>190</v>
      </c>
      <c r="D65" s="37" t="s">
        <v>38</v>
      </c>
      <c r="E65" s="55" t="s">
        <v>459</v>
      </c>
      <c r="F65" s="46">
        <v>2</v>
      </c>
      <c r="G65" s="46">
        <v>2</v>
      </c>
      <c r="H65" s="47">
        <f t="shared" si="0"/>
        <v>4</v>
      </c>
      <c r="I65" s="62">
        <v>100</v>
      </c>
      <c r="J65" s="64" t="s">
        <v>222</v>
      </c>
    </row>
    <row r="66" spans="1:10" x14ac:dyDescent="0.3">
      <c r="A66" s="63">
        <v>63</v>
      </c>
      <c r="B66" s="37" t="s">
        <v>512</v>
      </c>
      <c r="C66" s="5"/>
      <c r="D66" s="37" t="s">
        <v>88</v>
      </c>
      <c r="E66" s="55" t="s">
        <v>511</v>
      </c>
      <c r="F66" s="46">
        <v>1</v>
      </c>
      <c r="G66" s="46"/>
      <c r="H66" s="47">
        <f t="shared" si="0"/>
        <v>1</v>
      </c>
      <c r="I66" s="62"/>
      <c r="J66" s="64"/>
    </row>
    <row r="67" spans="1:10" x14ac:dyDescent="0.3">
      <c r="A67" s="63">
        <v>64</v>
      </c>
      <c r="B67" s="37" t="s">
        <v>466</v>
      </c>
      <c r="C67" s="5"/>
      <c r="D67" s="37" t="s">
        <v>88</v>
      </c>
      <c r="E67" s="100" t="s">
        <v>467</v>
      </c>
      <c r="F67" s="46">
        <v>1</v>
      </c>
      <c r="G67" s="46">
        <v>1</v>
      </c>
      <c r="H67" s="143">
        <f t="shared" si="0"/>
        <v>2</v>
      </c>
      <c r="I67" s="141"/>
      <c r="J67" s="144"/>
    </row>
    <row r="68" spans="1:10" x14ac:dyDescent="0.3">
      <c r="A68" s="63">
        <v>65</v>
      </c>
      <c r="B68" s="37" t="s">
        <v>523</v>
      </c>
      <c r="C68" s="5"/>
      <c r="D68" s="37" t="s">
        <v>38</v>
      </c>
      <c r="E68" s="100" t="s">
        <v>467</v>
      </c>
      <c r="F68" s="46">
        <v>2</v>
      </c>
      <c r="G68" s="46"/>
      <c r="H68" s="143">
        <f t="shared" si="0"/>
        <v>2</v>
      </c>
      <c r="I68" s="141"/>
      <c r="J68" s="144"/>
    </row>
    <row r="69" spans="1:10" x14ac:dyDescent="0.3">
      <c r="A69" s="63">
        <v>66</v>
      </c>
      <c r="B69" s="37" t="s">
        <v>525</v>
      </c>
      <c r="C69" s="5"/>
      <c r="D69" s="37" t="s">
        <v>88</v>
      </c>
      <c r="E69" s="100" t="s">
        <v>468</v>
      </c>
      <c r="F69" s="46">
        <v>1</v>
      </c>
      <c r="G69" s="46"/>
      <c r="H69" s="143">
        <f t="shared" si="0"/>
        <v>1</v>
      </c>
      <c r="I69" s="141"/>
      <c r="J69" s="144"/>
    </row>
    <row r="70" spans="1:10" x14ac:dyDescent="0.3">
      <c r="A70" s="63">
        <v>67</v>
      </c>
      <c r="B70" s="37" t="s">
        <v>496</v>
      </c>
      <c r="C70" s="5"/>
      <c r="D70" s="37" t="s">
        <v>88</v>
      </c>
      <c r="E70" s="100" t="s">
        <v>468</v>
      </c>
      <c r="F70" s="46">
        <v>1</v>
      </c>
      <c r="G70" s="46"/>
      <c r="H70" s="143">
        <f t="shared" si="0"/>
        <v>1</v>
      </c>
      <c r="I70" s="141"/>
      <c r="J70" s="144"/>
    </row>
    <row r="71" spans="1:10" x14ac:dyDescent="0.3">
      <c r="A71" s="63">
        <v>68</v>
      </c>
      <c r="B71" s="37" t="s">
        <v>482</v>
      </c>
      <c r="C71" s="5"/>
      <c r="D71" s="37" t="s">
        <v>88</v>
      </c>
      <c r="E71" s="100" t="s">
        <v>480</v>
      </c>
      <c r="F71" s="46">
        <v>2</v>
      </c>
      <c r="G71" s="46"/>
      <c r="H71" s="143">
        <f t="shared" si="0"/>
        <v>2</v>
      </c>
      <c r="I71" s="141"/>
      <c r="J71" s="144"/>
    </row>
    <row r="72" spans="1:10" x14ac:dyDescent="0.3">
      <c r="A72" s="63">
        <v>69</v>
      </c>
      <c r="B72" s="37"/>
      <c r="C72" s="5" t="s">
        <v>190</v>
      </c>
      <c r="D72" s="37" t="s">
        <v>38</v>
      </c>
      <c r="E72" s="100" t="s">
        <v>172</v>
      </c>
      <c r="F72" s="46">
        <v>1</v>
      </c>
      <c r="G72" s="46"/>
      <c r="H72" s="143">
        <f t="shared" si="0"/>
        <v>1</v>
      </c>
      <c r="I72" s="141"/>
      <c r="J72" s="144"/>
    </row>
    <row r="73" spans="1:10" ht="16.2" thickBot="1" x14ac:dyDescent="0.35">
      <c r="A73" s="241" t="s">
        <v>528</v>
      </c>
      <c r="B73" s="242"/>
      <c r="C73" s="242"/>
      <c r="D73" s="242"/>
      <c r="E73" s="243"/>
      <c r="F73" s="65">
        <f>SUM(F4:F72)</f>
        <v>74</v>
      </c>
      <c r="G73" s="65">
        <f>SUM(G4:G72)</f>
        <v>64</v>
      </c>
      <c r="H73" s="66">
        <f t="shared" ref="H73" si="1">SUM(F73:G73)</f>
        <v>138</v>
      </c>
      <c r="I73" s="67">
        <f>SUM(I4:I66)</f>
        <v>4520</v>
      </c>
      <c r="J73" s="68"/>
    </row>
  </sheetData>
  <mergeCells count="11">
    <mergeCell ref="I2:I3"/>
    <mergeCell ref="J2:J3"/>
    <mergeCell ref="A1:J1"/>
    <mergeCell ref="H2:H3"/>
    <mergeCell ref="A73:E73"/>
    <mergeCell ref="A2:A3"/>
    <mergeCell ref="B2:B3"/>
    <mergeCell ref="C2:C3"/>
    <mergeCell ref="D2:D3"/>
    <mergeCell ref="E2:E3"/>
    <mergeCell ref="F2:G2"/>
  </mergeCells>
  <pageMargins left="0.25" right="0.25" top="0.75" bottom="0.75" header="0.3" footer="0.3"/>
  <pageSetup paperSize="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A88F-5382-468C-8389-A405B6E3E522}">
  <dimension ref="A1:M64"/>
  <sheetViews>
    <sheetView topLeftCell="A32" zoomScale="80" zoomScaleNormal="80" workbookViewId="0">
      <selection activeCell="C60" sqref="C60"/>
    </sheetView>
  </sheetViews>
  <sheetFormatPr defaultRowHeight="15.6" x14ac:dyDescent="0.3"/>
  <cols>
    <col min="2" max="2" width="84.109375" customWidth="1"/>
    <col min="3" max="3" width="14.44140625" style="78" customWidth="1"/>
    <col min="4" max="4" width="21.88671875" customWidth="1"/>
    <col min="5" max="5" width="13.109375" customWidth="1"/>
    <col min="6" max="6" width="18.88671875" customWidth="1"/>
    <col min="12" max="12" width="16.44140625" style="57" customWidth="1"/>
    <col min="13" max="13" width="17.109375" customWidth="1"/>
  </cols>
  <sheetData>
    <row r="1" spans="1:13" ht="17.399999999999999" customHeight="1" x14ac:dyDescent="0.3">
      <c r="A1" s="245" t="s">
        <v>332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</row>
    <row r="2" spans="1:13" ht="17.399999999999999" customHeight="1" x14ac:dyDescent="0.3">
      <c r="A2" s="244" t="s">
        <v>0</v>
      </c>
      <c r="B2" s="234" t="s">
        <v>3</v>
      </c>
      <c r="C2" s="229" t="s">
        <v>5</v>
      </c>
      <c r="D2" s="234" t="s">
        <v>1</v>
      </c>
      <c r="E2" s="229" t="s">
        <v>8</v>
      </c>
      <c r="F2" s="236" t="s">
        <v>333</v>
      </c>
      <c r="G2" s="236" t="s">
        <v>364</v>
      </c>
      <c r="H2" s="236" t="s">
        <v>365</v>
      </c>
      <c r="I2" s="236" t="s">
        <v>366</v>
      </c>
      <c r="J2" s="236" t="s">
        <v>367</v>
      </c>
      <c r="K2" s="236" t="s">
        <v>368</v>
      </c>
      <c r="L2" s="236" t="s">
        <v>363</v>
      </c>
      <c r="M2" s="236" t="s">
        <v>373</v>
      </c>
    </row>
    <row r="3" spans="1:13" ht="17.399999999999999" customHeight="1" x14ac:dyDescent="0.3">
      <c r="A3" s="244"/>
      <c r="B3" s="234"/>
      <c r="C3" s="230"/>
      <c r="D3" s="234"/>
      <c r="E3" s="230"/>
      <c r="F3" s="237"/>
      <c r="G3" s="237"/>
      <c r="H3" s="237"/>
      <c r="I3" s="237"/>
      <c r="J3" s="237"/>
      <c r="K3" s="237"/>
      <c r="L3" s="237"/>
      <c r="M3" s="237"/>
    </row>
    <row r="4" spans="1:13" x14ac:dyDescent="0.3">
      <c r="A4" s="63">
        <v>1</v>
      </c>
      <c r="B4" s="37" t="s">
        <v>51</v>
      </c>
      <c r="C4" s="5">
        <v>300</v>
      </c>
      <c r="D4" s="44" t="s">
        <v>159</v>
      </c>
      <c r="E4" s="62" t="s">
        <v>313</v>
      </c>
      <c r="F4" s="80">
        <v>12</v>
      </c>
      <c r="G4" s="35">
        <v>1</v>
      </c>
      <c r="H4" s="35">
        <v>2</v>
      </c>
      <c r="I4" s="35">
        <v>4</v>
      </c>
      <c r="J4" s="35">
        <v>3</v>
      </c>
      <c r="K4" s="35">
        <v>2</v>
      </c>
      <c r="L4" s="35">
        <f t="shared" ref="L4:L35" si="0">SUM(G4:K4)</f>
        <v>12</v>
      </c>
      <c r="M4" s="35">
        <f>F4-L4</f>
        <v>0</v>
      </c>
    </row>
    <row r="5" spans="1:13" x14ac:dyDescent="0.3">
      <c r="A5" s="63">
        <v>2</v>
      </c>
      <c r="B5" s="37" t="s">
        <v>52</v>
      </c>
      <c r="C5" s="5">
        <v>600</v>
      </c>
      <c r="D5" s="44" t="s">
        <v>159</v>
      </c>
      <c r="E5" s="62" t="s">
        <v>313</v>
      </c>
      <c r="F5" s="80">
        <v>6</v>
      </c>
      <c r="G5" s="35">
        <v>1</v>
      </c>
      <c r="H5" s="35">
        <v>1</v>
      </c>
      <c r="I5" s="35">
        <v>2</v>
      </c>
      <c r="J5" s="35">
        <v>0</v>
      </c>
      <c r="K5" s="35">
        <v>2</v>
      </c>
      <c r="L5" s="35">
        <f t="shared" si="0"/>
        <v>6</v>
      </c>
      <c r="M5" s="35">
        <f t="shared" ref="M5:M56" si="1">F5-L5</f>
        <v>0</v>
      </c>
    </row>
    <row r="6" spans="1:13" x14ac:dyDescent="0.3">
      <c r="A6" s="63">
        <v>3</v>
      </c>
      <c r="B6" s="37" t="s">
        <v>53</v>
      </c>
      <c r="C6" s="5">
        <v>350</v>
      </c>
      <c r="D6" s="44" t="s">
        <v>159</v>
      </c>
      <c r="E6" s="62" t="s">
        <v>313</v>
      </c>
      <c r="F6" s="80">
        <v>6</v>
      </c>
      <c r="G6" s="35">
        <v>2</v>
      </c>
      <c r="H6" s="35">
        <v>0</v>
      </c>
      <c r="I6" s="35">
        <v>0</v>
      </c>
      <c r="J6" s="35">
        <v>2</v>
      </c>
      <c r="K6" s="35">
        <v>2</v>
      </c>
      <c r="L6" s="35">
        <f t="shared" si="0"/>
        <v>6</v>
      </c>
      <c r="M6" s="35">
        <f t="shared" si="1"/>
        <v>0</v>
      </c>
    </row>
    <row r="7" spans="1:13" x14ac:dyDescent="0.3">
      <c r="A7" s="63">
        <v>4</v>
      </c>
      <c r="B7" s="37" t="s">
        <v>277</v>
      </c>
      <c r="C7" s="5">
        <v>480</v>
      </c>
      <c r="D7" s="44" t="s">
        <v>159</v>
      </c>
      <c r="E7" s="62" t="s">
        <v>313</v>
      </c>
      <c r="F7" s="80">
        <v>10</v>
      </c>
      <c r="G7" s="35">
        <v>3</v>
      </c>
      <c r="H7" s="35">
        <v>3</v>
      </c>
      <c r="I7" s="35">
        <v>3</v>
      </c>
      <c r="J7" s="35">
        <v>1</v>
      </c>
      <c r="K7" s="35">
        <v>0</v>
      </c>
      <c r="L7" s="35">
        <f t="shared" si="0"/>
        <v>10</v>
      </c>
      <c r="M7" s="35">
        <f t="shared" si="1"/>
        <v>0</v>
      </c>
    </row>
    <row r="8" spans="1:13" x14ac:dyDescent="0.3">
      <c r="A8" s="63">
        <v>5</v>
      </c>
      <c r="B8" s="37" t="s">
        <v>370</v>
      </c>
      <c r="C8" s="5"/>
      <c r="D8" s="44" t="s">
        <v>160</v>
      </c>
      <c r="E8" s="62">
        <v>500</v>
      </c>
      <c r="F8" s="80">
        <v>7</v>
      </c>
      <c r="G8" s="35">
        <v>0</v>
      </c>
      <c r="H8" s="35">
        <v>2</v>
      </c>
      <c r="I8" s="35">
        <v>1</v>
      </c>
      <c r="J8" s="35">
        <v>0</v>
      </c>
      <c r="K8" s="35">
        <v>0</v>
      </c>
      <c r="L8" s="35">
        <f t="shared" si="0"/>
        <v>3</v>
      </c>
      <c r="M8" s="35">
        <f t="shared" si="1"/>
        <v>4</v>
      </c>
    </row>
    <row r="9" spans="1:13" x14ac:dyDescent="0.3">
      <c r="A9" s="63">
        <v>6</v>
      </c>
      <c r="B9" s="37" t="s">
        <v>58</v>
      </c>
      <c r="C9" s="5"/>
      <c r="D9" s="44" t="s">
        <v>160</v>
      </c>
      <c r="E9" s="62">
        <v>500</v>
      </c>
      <c r="F9" s="80">
        <v>7</v>
      </c>
      <c r="G9" s="35">
        <v>5</v>
      </c>
      <c r="H9" s="35">
        <v>0</v>
      </c>
      <c r="I9" s="35">
        <v>2</v>
      </c>
      <c r="J9" s="35">
        <v>0</v>
      </c>
      <c r="K9" s="35">
        <v>0</v>
      </c>
      <c r="L9" s="35">
        <f t="shared" si="0"/>
        <v>7</v>
      </c>
      <c r="M9" s="35">
        <f t="shared" si="1"/>
        <v>0</v>
      </c>
    </row>
    <row r="10" spans="1:13" x14ac:dyDescent="0.3">
      <c r="A10" s="63">
        <v>7</v>
      </c>
      <c r="B10" s="37" t="s">
        <v>314</v>
      </c>
      <c r="C10" s="5"/>
      <c r="D10" s="44" t="s">
        <v>161</v>
      </c>
      <c r="E10" s="62" t="s">
        <v>313</v>
      </c>
      <c r="F10" s="80">
        <v>2</v>
      </c>
      <c r="G10" s="35">
        <v>1</v>
      </c>
      <c r="H10" s="35">
        <v>0</v>
      </c>
      <c r="I10" s="35">
        <v>0</v>
      </c>
      <c r="J10" s="35">
        <v>1</v>
      </c>
      <c r="K10" s="35">
        <v>0</v>
      </c>
      <c r="L10" s="35">
        <f t="shared" si="0"/>
        <v>2</v>
      </c>
      <c r="M10" s="35">
        <f t="shared" si="1"/>
        <v>0</v>
      </c>
    </row>
    <row r="11" spans="1:13" x14ac:dyDescent="0.3">
      <c r="A11" s="63">
        <v>8</v>
      </c>
      <c r="B11" s="37" t="s">
        <v>45</v>
      </c>
      <c r="C11" s="5"/>
      <c r="D11" s="44" t="s">
        <v>161</v>
      </c>
      <c r="E11" s="62" t="s">
        <v>313</v>
      </c>
      <c r="F11" s="80">
        <v>10</v>
      </c>
      <c r="G11" s="35">
        <v>2</v>
      </c>
      <c r="H11" s="35">
        <v>0</v>
      </c>
      <c r="I11" s="35">
        <v>0</v>
      </c>
      <c r="J11" s="35">
        <v>0</v>
      </c>
      <c r="K11" s="35">
        <v>8</v>
      </c>
      <c r="L11" s="35">
        <f t="shared" si="0"/>
        <v>10</v>
      </c>
      <c r="M11" s="35">
        <f t="shared" si="1"/>
        <v>0</v>
      </c>
    </row>
    <row r="12" spans="1:13" x14ac:dyDescent="0.3">
      <c r="A12" s="63">
        <v>9</v>
      </c>
      <c r="B12" s="37" t="s">
        <v>361</v>
      </c>
      <c r="C12" s="5"/>
      <c r="D12" s="44" t="s">
        <v>161</v>
      </c>
      <c r="E12" s="62" t="s">
        <v>313</v>
      </c>
      <c r="F12" s="80">
        <v>14</v>
      </c>
      <c r="G12" s="35">
        <v>4</v>
      </c>
      <c r="H12" s="35">
        <v>4</v>
      </c>
      <c r="I12" s="35">
        <v>1</v>
      </c>
      <c r="J12" s="35">
        <v>5</v>
      </c>
      <c r="K12" s="35">
        <v>0</v>
      </c>
      <c r="L12" s="35">
        <f t="shared" si="0"/>
        <v>14</v>
      </c>
      <c r="M12" s="35">
        <f t="shared" si="1"/>
        <v>0</v>
      </c>
    </row>
    <row r="13" spans="1:13" x14ac:dyDescent="0.3">
      <c r="A13" s="63">
        <v>10</v>
      </c>
      <c r="B13" s="37" t="s">
        <v>362</v>
      </c>
      <c r="C13" s="5"/>
      <c r="D13" s="44" t="s">
        <v>161</v>
      </c>
      <c r="E13" s="62" t="s">
        <v>313</v>
      </c>
      <c r="F13" s="80">
        <v>8</v>
      </c>
      <c r="G13" s="35">
        <v>1</v>
      </c>
      <c r="H13" s="35">
        <v>1</v>
      </c>
      <c r="I13" s="35">
        <v>2</v>
      </c>
      <c r="J13" s="35">
        <v>4</v>
      </c>
      <c r="K13" s="35">
        <v>0</v>
      </c>
      <c r="L13" s="35">
        <f t="shared" si="0"/>
        <v>8</v>
      </c>
      <c r="M13" s="35">
        <f t="shared" si="1"/>
        <v>0</v>
      </c>
    </row>
    <row r="14" spans="1:13" x14ac:dyDescent="0.3">
      <c r="A14" s="63">
        <v>11</v>
      </c>
      <c r="B14" s="37" t="s">
        <v>46</v>
      </c>
      <c r="C14" s="5"/>
      <c r="D14" s="44" t="s">
        <v>161</v>
      </c>
      <c r="E14" s="62" t="s">
        <v>313</v>
      </c>
      <c r="F14" s="80">
        <v>9</v>
      </c>
      <c r="G14" s="35">
        <v>0</v>
      </c>
      <c r="H14" s="35">
        <v>3</v>
      </c>
      <c r="I14" s="35">
        <v>3</v>
      </c>
      <c r="J14" s="35">
        <v>2</v>
      </c>
      <c r="K14" s="35">
        <v>1</v>
      </c>
      <c r="L14" s="35">
        <f t="shared" si="0"/>
        <v>9</v>
      </c>
      <c r="M14" s="35">
        <f t="shared" si="1"/>
        <v>0</v>
      </c>
    </row>
    <row r="15" spans="1:13" x14ac:dyDescent="0.3">
      <c r="A15" s="63">
        <v>12</v>
      </c>
      <c r="B15" s="37" t="s">
        <v>47</v>
      </c>
      <c r="C15" s="5"/>
      <c r="D15" s="44" t="s">
        <v>161</v>
      </c>
      <c r="E15" s="62" t="s">
        <v>313</v>
      </c>
      <c r="F15" s="80">
        <v>11</v>
      </c>
      <c r="G15" s="35">
        <v>1</v>
      </c>
      <c r="H15" s="35">
        <v>4</v>
      </c>
      <c r="I15" s="35">
        <v>3</v>
      </c>
      <c r="J15" s="35">
        <v>0</v>
      </c>
      <c r="K15" s="35">
        <v>3</v>
      </c>
      <c r="L15" s="35">
        <f t="shared" si="0"/>
        <v>11</v>
      </c>
      <c r="M15" s="35">
        <f t="shared" si="1"/>
        <v>0</v>
      </c>
    </row>
    <row r="16" spans="1:13" x14ac:dyDescent="0.3">
      <c r="A16" s="63">
        <v>13</v>
      </c>
      <c r="B16" s="37" t="s">
        <v>105</v>
      </c>
      <c r="C16" s="5"/>
      <c r="D16" s="44" t="s">
        <v>148</v>
      </c>
      <c r="E16" s="62">
        <v>500</v>
      </c>
      <c r="F16" s="80">
        <v>7</v>
      </c>
      <c r="G16" s="35">
        <v>0</v>
      </c>
      <c r="H16" s="35">
        <v>2</v>
      </c>
      <c r="I16" s="35">
        <v>0</v>
      </c>
      <c r="J16" s="35">
        <v>2</v>
      </c>
      <c r="K16" s="35">
        <v>0</v>
      </c>
      <c r="L16" s="35">
        <f t="shared" si="0"/>
        <v>4</v>
      </c>
      <c r="M16" s="35">
        <f t="shared" si="1"/>
        <v>3</v>
      </c>
    </row>
    <row r="17" spans="1:13" x14ac:dyDescent="0.3">
      <c r="A17" s="63">
        <v>14</v>
      </c>
      <c r="B17" s="37" t="s">
        <v>139</v>
      </c>
      <c r="C17" s="5"/>
      <c r="D17" s="44" t="s">
        <v>148</v>
      </c>
      <c r="E17" s="62">
        <v>500</v>
      </c>
      <c r="F17" s="80">
        <v>8</v>
      </c>
      <c r="G17" s="35">
        <v>0</v>
      </c>
      <c r="H17" s="86">
        <v>3</v>
      </c>
      <c r="I17" s="35">
        <v>0</v>
      </c>
      <c r="J17" s="35">
        <v>3</v>
      </c>
      <c r="K17" s="35">
        <v>2</v>
      </c>
      <c r="L17" s="35">
        <f t="shared" si="0"/>
        <v>8</v>
      </c>
      <c r="M17" s="35">
        <f t="shared" si="1"/>
        <v>0</v>
      </c>
    </row>
    <row r="18" spans="1:13" x14ac:dyDescent="0.3">
      <c r="A18" s="63">
        <v>15</v>
      </c>
      <c r="B18" s="37" t="s">
        <v>235</v>
      </c>
      <c r="C18" s="5"/>
      <c r="D18" s="44" t="s">
        <v>170</v>
      </c>
      <c r="E18" s="62">
        <v>500</v>
      </c>
      <c r="F18" s="80"/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f t="shared" si="0"/>
        <v>0</v>
      </c>
      <c r="M18" s="35">
        <f t="shared" si="1"/>
        <v>0</v>
      </c>
    </row>
    <row r="19" spans="1:13" x14ac:dyDescent="0.3">
      <c r="A19" s="63">
        <v>16</v>
      </c>
      <c r="B19" s="37" t="s">
        <v>85</v>
      </c>
      <c r="C19" s="5">
        <v>500</v>
      </c>
      <c r="D19" s="44" t="s">
        <v>164</v>
      </c>
      <c r="E19" s="62">
        <v>500</v>
      </c>
      <c r="F19" s="80">
        <v>7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f t="shared" si="0"/>
        <v>0</v>
      </c>
      <c r="M19" s="35">
        <f t="shared" si="1"/>
        <v>7</v>
      </c>
    </row>
    <row r="20" spans="1:13" x14ac:dyDescent="0.3">
      <c r="A20" s="63">
        <v>17</v>
      </c>
      <c r="B20" s="37" t="s">
        <v>109</v>
      </c>
      <c r="C20" s="5">
        <v>399</v>
      </c>
      <c r="D20" s="44" t="s">
        <v>147</v>
      </c>
      <c r="E20" s="62" t="s">
        <v>313</v>
      </c>
      <c r="F20" s="80">
        <v>27</v>
      </c>
      <c r="G20" s="35">
        <v>2</v>
      </c>
      <c r="H20" s="35">
        <v>2</v>
      </c>
      <c r="I20" s="35">
        <v>7</v>
      </c>
      <c r="J20" s="35">
        <v>3</v>
      </c>
      <c r="K20" s="35">
        <v>13</v>
      </c>
      <c r="L20" s="35">
        <f t="shared" si="0"/>
        <v>27</v>
      </c>
      <c r="M20" s="35">
        <f t="shared" si="1"/>
        <v>0</v>
      </c>
    </row>
    <row r="21" spans="1:13" x14ac:dyDescent="0.3">
      <c r="A21" s="63">
        <v>18</v>
      </c>
      <c r="B21" s="37" t="s">
        <v>110</v>
      </c>
      <c r="C21" s="5">
        <v>299</v>
      </c>
      <c r="D21" s="44" t="s">
        <v>147</v>
      </c>
      <c r="E21" s="62" t="s">
        <v>313</v>
      </c>
      <c r="F21" s="80">
        <v>29</v>
      </c>
      <c r="G21" s="35">
        <v>7</v>
      </c>
      <c r="H21" s="35">
        <v>3</v>
      </c>
      <c r="I21" s="35">
        <v>7</v>
      </c>
      <c r="J21" s="35">
        <v>11</v>
      </c>
      <c r="K21" s="35">
        <v>1</v>
      </c>
      <c r="L21" s="35">
        <f t="shared" si="0"/>
        <v>29</v>
      </c>
      <c r="M21" s="35">
        <f t="shared" si="1"/>
        <v>0</v>
      </c>
    </row>
    <row r="22" spans="1:13" x14ac:dyDescent="0.3">
      <c r="A22" s="63">
        <v>19</v>
      </c>
      <c r="B22" s="37" t="s">
        <v>65</v>
      </c>
      <c r="C22" s="5"/>
      <c r="D22" s="44" t="s">
        <v>153</v>
      </c>
      <c r="E22" s="62">
        <v>500</v>
      </c>
      <c r="F22" s="80">
        <v>10</v>
      </c>
      <c r="G22" s="35">
        <v>0</v>
      </c>
      <c r="H22" s="35">
        <v>1</v>
      </c>
      <c r="I22" s="35">
        <v>6</v>
      </c>
      <c r="J22" s="35">
        <v>1</v>
      </c>
      <c r="K22" s="35">
        <v>2</v>
      </c>
      <c r="L22" s="35">
        <f t="shared" si="0"/>
        <v>10</v>
      </c>
      <c r="M22" s="35">
        <f t="shared" si="1"/>
        <v>0</v>
      </c>
    </row>
    <row r="23" spans="1:13" x14ac:dyDescent="0.3">
      <c r="A23" s="63">
        <v>20</v>
      </c>
      <c r="B23" s="37" t="s">
        <v>244</v>
      </c>
      <c r="C23" s="5"/>
      <c r="D23" s="44" t="s">
        <v>153</v>
      </c>
      <c r="E23" s="62">
        <v>500</v>
      </c>
      <c r="F23" s="80">
        <v>10</v>
      </c>
      <c r="G23" s="35">
        <v>0</v>
      </c>
      <c r="H23" s="35">
        <v>1</v>
      </c>
      <c r="I23" s="35">
        <v>5</v>
      </c>
      <c r="J23" s="35">
        <v>2</v>
      </c>
      <c r="K23" s="35">
        <v>0</v>
      </c>
      <c r="L23" s="35">
        <f t="shared" si="0"/>
        <v>8</v>
      </c>
      <c r="M23" s="35">
        <f t="shared" si="1"/>
        <v>2</v>
      </c>
    </row>
    <row r="24" spans="1:13" x14ac:dyDescent="0.3">
      <c r="A24" s="63">
        <v>21</v>
      </c>
      <c r="B24" s="37" t="s">
        <v>111</v>
      </c>
      <c r="C24" s="5"/>
      <c r="D24" s="44" t="s">
        <v>153</v>
      </c>
      <c r="E24" s="62">
        <v>500</v>
      </c>
      <c r="F24" s="80">
        <v>10</v>
      </c>
      <c r="G24" s="35">
        <v>0</v>
      </c>
      <c r="H24" s="35">
        <v>1</v>
      </c>
      <c r="I24" s="35">
        <v>1</v>
      </c>
      <c r="J24" s="35">
        <v>1</v>
      </c>
      <c r="K24" s="35">
        <v>3</v>
      </c>
      <c r="L24" s="35">
        <f t="shared" si="0"/>
        <v>6</v>
      </c>
      <c r="M24" s="35">
        <f t="shared" si="1"/>
        <v>4</v>
      </c>
    </row>
    <row r="25" spans="1:13" x14ac:dyDescent="0.3">
      <c r="A25" s="63">
        <v>22</v>
      </c>
      <c r="B25" s="37" t="s">
        <v>89</v>
      </c>
      <c r="C25" s="5"/>
      <c r="D25" s="44" t="s">
        <v>157</v>
      </c>
      <c r="E25" s="62">
        <v>500</v>
      </c>
      <c r="F25" s="80">
        <v>7</v>
      </c>
      <c r="G25" s="35">
        <v>0</v>
      </c>
      <c r="H25" s="35">
        <v>0</v>
      </c>
      <c r="I25" s="35">
        <v>1</v>
      </c>
      <c r="J25" s="35">
        <v>2</v>
      </c>
      <c r="K25" s="35">
        <v>2</v>
      </c>
      <c r="L25" s="35">
        <f t="shared" si="0"/>
        <v>5</v>
      </c>
      <c r="M25" s="35">
        <f t="shared" si="1"/>
        <v>2</v>
      </c>
    </row>
    <row r="26" spans="1:13" x14ac:dyDescent="0.3">
      <c r="A26" s="63">
        <v>23</v>
      </c>
      <c r="B26" s="37" t="s">
        <v>282</v>
      </c>
      <c r="C26" s="5"/>
      <c r="D26" s="44" t="s">
        <v>152</v>
      </c>
      <c r="E26" s="62">
        <v>500</v>
      </c>
      <c r="F26" s="80">
        <v>4</v>
      </c>
      <c r="G26" s="35">
        <v>0</v>
      </c>
      <c r="H26" s="35">
        <v>0</v>
      </c>
      <c r="I26" s="35">
        <v>0</v>
      </c>
      <c r="J26" s="35">
        <v>1</v>
      </c>
      <c r="K26" s="35">
        <v>2</v>
      </c>
      <c r="L26" s="35">
        <f t="shared" si="0"/>
        <v>3</v>
      </c>
      <c r="M26" s="35">
        <f t="shared" si="1"/>
        <v>1</v>
      </c>
    </row>
    <row r="27" spans="1:13" x14ac:dyDescent="0.3">
      <c r="A27" s="63">
        <v>24</v>
      </c>
      <c r="B27" s="37" t="s">
        <v>91</v>
      </c>
      <c r="C27" s="5"/>
      <c r="D27" s="44" t="s">
        <v>149</v>
      </c>
      <c r="E27" s="62">
        <v>500</v>
      </c>
      <c r="F27" s="80">
        <v>6</v>
      </c>
      <c r="G27" s="35">
        <v>1</v>
      </c>
      <c r="H27" s="35">
        <v>0</v>
      </c>
      <c r="I27" s="35">
        <v>3</v>
      </c>
      <c r="J27" s="35">
        <v>2</v>
      </c>
      <c r="K27" s="35">
        <v>0</v>
      </c>
      <c r="L27" s="35">
        <f t="shared" si="0"/>
        <v>6</v>
      </c>
      <c r="M27" s="35">
        <f t="shared" si="1"/>
        <v>0</v>
      </c>
    </row>
    <row r="28" spans="1:13" x14ac:dyDescent="0.3">
      <c r="A28" s="63">
        <v>25</v>
      </c>
      <c r="B28" s="37" t="s">
        <v>340</v>
      </c>
      <c r="C28" s="5"/>
      <c r="D28" s="44" t="s">
        <v>149</v>
      </c>
      <c r="E28" s="62">
        <v>500</v>
      </c>
      <c r="F28" s="80">
        <v>7</v>
      </c>
      <c r="G28" s="35">
        <v>0</v>
      </c>
      <c r="H28" s="35">
        <v>2</v>
      </c>
      <c r="I28" s="35">
        <v>0</v>
      </c>
      <c r="J28" s="35">
        <v>2</v>
      </c>
      <c r="K28" s="35">
        <v>2</v>
      </c>
      <c r="L28" s="35">
        <f t="shared" si="0"/>
        <v>6</v>
      </c>
      <c r="M28" s="35">
        <f t="shared" si="1"/>
        <v>1</v>
      </c>
    </row>
    <row r="29" spans="1:13" x14ac:dyDescent="0.3">
      <c r="A29" s="63">
        <v>26</v>
      </c>
      <c r="B29" s="37" t="s">
        <v>97</v>
      </c>
      <c r="C29" s="5"/>
      <c r="D29" s="44" t="s">
        <v>167</v>
      </c>
      <c r="E29" s="62">
        <v>500</v>
      </c>
      <c r="F29" s="80">
        <v>6</v>
      </c>
      <c r="G29" s="35">
        <v>0</v>
      </c>
      <c r="H29" s="35">
        <v>0</v>
      </c>
      <c r="I29" s="35">
        <v>1</v>
      </c>
      <c r="J29" s="35">
        <v>5</v>
      </c>
      <c r="K29" s="35">
        <v>0</v>
      </c>
      <c r="L29" s="35">
        <f t="shared" si="0"/>
        <v>6</v>
      </c>
      <c r="M29" s="35">
        <f t="shared" si="1"/>
        <v>0</v>
      </c>
    </row>
    <row r="30" spans="1:13" x14ac:dyDescent="0.3">
      <c r="A30" s="63">
        <v>27</v>
      </c>
      <c r="B30" s="37" t="s">
        <v>274</v>
      </c>
      <c r="C30" s="5"/>
      <c r="D30" s="44" t="s">
        <v>172</v>
      </c>
      <c r="E30" s="62">
        <v>500</v>
      </c>
      <c r="F30" s="80">
        <v>14</v>
      </c>
      <c r="G30" s="35">
        <v>0</v>
      </c>
      <c r="H30" s="35">
        <v>0</v>
      </c>
      <c r="I30" s="35">
        <v>0</v>
      </c>
      <c r="J30" s="35">
        <v>0</v>
      </c>
      <c r="K30" s="35">
        <v>1</v>
      </c>
      <c r="L30" s="35">
        <f t="shared" si="0"/>
        <v>1</v>
      </c>
      <c r="M30" s="35">
        <f t="shared" si="1"/>
        <v>13</v>
      </c>
    </row>
    <row r="31" spans="1:13" x14ac:dyDescent="0.3">
      <c r="A31" s="63">
        <v>28</v>
      </c>
      <c r="B31" s="37" t="s">
        <v>273</v>
      </c>
      <c r="C31" s="5">
        <v>300</v>
      </c>
      <c r="D31" s="44" t="s">
        <v>172</v>
      </c>
      <c r="E31" s="62">
        <v>500</v>
      </c>
      <c r="F31" s="80">
        <v>6</v>
      </c>
      <c r="G31" s="35">
        <v>0</v>
      </c>
      <c r="H31" s="35">
        <v>0</v>
      </c>
      <c r="I31" s="35">
        <v>1</v>
      </c>
      <c r="J31" s="35">
        <v>0</v>
      </c>
      <c r="K31" s="35">
        <v>1</v>
      </c>
      <c r="L31" s="35">
        <f t="shared" si="0"/>
        <v>2</v>
      </c>
      <c r="M31" s="35">
        <f t="shared" si="1"/>
        <v>4</v>
      </c>
    </row>
    <row r="32" spans="1:13" x14ac:dyDescent="0.3">
      <c r="A32" s="63">
        <v>29</v>
      </c>
      <c r="B32" s="37" t="s">
        <v>339</v>
      </c>
      <c r="C32" s="5">
        <v>150</v>
      </c>
      <c r="D32" s="44" t="s">
        <v>172</v>
      </c>
      <c r="E32" s="62">
        <v>500</v>
      </c>
      <c r="F32" s="80">
        <v>10</v>
      </c>
      <c r="G32" s="35">
        <v>0</v>
      </c>
      <c r="H32" s="35">
        <v>0</v>
      </c>
      <c r="I32" s="35">
        <v>1</v>
      </c>
      <c r="J32" s="35">
        <v>1</v>
      </c>
      <c r="K32" s="35">
        <v>7</v>
      </c>
      <c r="L32" s="35">
        <f t="shared" si="0"/>
        <v>9</v>
      </c>
      <c r="M32" s="35">
        <f t="shared" si="1"/>
        <v>1</v>
      </c>
    </row>
    <row r="33" spans="1:13" x14ac:dyDescent="0.3">
      <c r="A33" s="63">
        <v>30</v>
      </c>
      <c r="B33" s="37" t="s">
        <v>334</v>
      </c>
      <c r="C33" s="5"/>
      <c r="D33" s="44" t="s">
        <v>151</v>
      </c>
      <c r="E33" s="62">
        <v>500</v>
      </c>
      <c r="F33" s="80">
        <v>8</v>
      </c>
      <c r="G33" s="35">
        <v>0</v>
      </c>
      <c r="H33" s="35">
        <v>1</v>
      </c>
      <c r="I33" s="35">
        <v>0</v>
      </c>
      <c r="J33" s="35">
        <v>0</v>
      </c>
      <c r="K33" s="35">
        <v>0</v>
      </c>
      <c r="L33" s="35">
        <f t="shared" si="0"/>
        <v>1</v>
      </c>
      <c r="M33" s="35">
        <f t="shared" si="1"/>
        <v>7</v>
      </c>
    </row>
    <row r="34" spans="1:13" x14ac:dyDescent="0.3">
      <c r="A34" s="63">
        <v>31</v>
      </c>
      <c r="B34" s="37" t="s">
        <v>96</v>
      </c>
      <c r="C34" s="5"/>
      <c r="D34" s="44" t="s">
        <v>151</v>
      </c>
      <c r="E34" s="62">
        <v>500</v>
      </c>
      <c r="F34" s="80">
        <v>7</v>
      </c>
      <c r="G34" s="35">
        <v>1</v>
      </c>
      <c r="H34" s="35">
        <v>0</v>
      </c>
      <c r="I34" s="35">
        <v>0</v>
      </c>
      <c r="J34" s="35">
        <v>0</v>
      </c>
      <c r="K34" s="35">
        <v>0</v>
      </c>
      <c r="L34" s="35">
        <f t="shared" si="0"/>
        <v>1</v>
      </c>
      <c r="M34" s="35">
        <f t="shared" si="1"/>
        <v>6</v>
      </c>
    </row>
    <row r="35" spans="1:13" x14ac:dyDescent="0.3">
      <c r="A35" s="63">
        <v>32</v>
      </c>
      <c r="B35" s="37" t="s">
        <v>135</v>
      </c>
      <c r="C35" s="5"/>
      <c r="D35" s="44" t="s">
        <v>146</v>
      </c>
      <c r="E35" s="62">
        <v>500</v>
      </c>
      <c r="F35" s="80">
        <v>6</v>
      </c>
      <c r="G35" s="35">
        <v>0</v>
      </c>
      <c r="H35" s="35">
        <v>0</v>
      </c>
      <c r="I35" s="35">
        <v>0</v>
      </c>
      <c r="J35" s="35">
        <v>2</v>
      </c>
      <c r="K35" s="35">
        <v>1</v>
      </c>
      <c r="L35" s="35">
        <f t="shared" si="0"/>
        <v>3</v>
      </c>
      <c r="M35" s="35">
        <f t="shared" si="1"/>
        <v>3</v>
      </c>
    </row>
    <row r="36" spans="1:13" x14ac:dyDescent="0.3">
      <c r="A36" s="63">
        <v>33</v>
      </c>
      <c r="B36" s="37" t="s">
        <v>188</v>
      </c>
      <c r="C36" s="5"/>
      <c r="D36" s="44" t="s">
        <v>187</v>
      </c>
      <c r="E36" s="62">
        <v>500</v>
      </c>
      <c r="F36" s="80">
        <v>6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f t="shared" ref="L36:L53" si="2">SUM(G36:K36)</f>
        <v>0</v>
      </c>
      <c r="M36" s="35">
        <f t="shared" si="1"/>
        <v>6</v>
      </c>
    </row>
    <row r="37" spans="1:13" x14ac:dyDescent="0.3">
      <c r="A37" s="63">
        <v>34</v>
      </c>
      <c r="B37" s="37" t="s">
        <v>193</v>
      </c>
      <c r="C37" s="5">
        <v>550</v>
      </c>
      <c r="D37" s="44" t="s">
        <v>192</v>
      </c>
      <c r="E37" s="62">
        <v>500</v>
      </c>
      <c r="F37" s="80">
        <v>6</v>
      </c>
      <c r="G37" s="35">
        <v>1</v>
      </c>
      <c r="H37" s="35">
        <v>1</v>
      </c>
      <c r="I37" s="35">
        <v>0</v>
      </c>
      <c r="J37" s="35">
        <v>0</v>
      </c>
      <c r="K37" s="35">
        <v>1</v>
      </c>
      <c r="L37" s="35">
        <f t="shared" si="2"/>
        <v>3</v>
      </c>
      <c r="M37" s="35">
        <f t="shared" si="1"/>
        <v>3</v>
      </c>
    </row>
    <row r="38" spans="1:13" x14ac:dyDescent="0.3">
      <c r="A38" s="63">
        <v>35</v>
      </c>
      <c r="B38" s="37" t="s">
        <v>63</v>
      </c>
      <c r="C38" s="5"/>
      <c r="D38" s="44" t="s">
        <v>195</v>
      </c>
      <c r="E38" s="62">
        <v>500</v>
      </c>
      <c r="F38" s="80">
        <v>7</v>
      </c>
      <c r="G38" s="35">
        <v>0</v>
      </c>
      <c r="H38" s="35">
        <v>1</v>
      </c>
      <c r="I38" s="35">
        <v>1</v>
      </c>
      <c r="J38" s="35">
        <v>1</v>
      </c>
      <c r="K38" s="35">
        <v>0</v>
      </c>
      <c r="L38" s="35">
        <f t="shared" si="2"/>
        <v>3</v>
      </c>
      <c r="M38" s="35">
        <f t="shared" si="1"/>
        <v>4</v>
      </c>
    </row>
    <row r="39" spans="1:13" x14ac:dyDescent="0.3">
      <c r="A39" s="63">
        <v>36</v>
      </c>
      <c r="B39" s="37" t="s">
        <v>194</v>
      </c>
      <c r="C39" s="5"/>
      <c r="D39" s="44" t="s">
        <v>195</v>
      </c>
      <c r="E39" s="62">
        <v>500</v>
      </c>
      <c r="F39" s="80">
        <v>8</v>
      </c>
      <c r="G39" s="35">
        <v>1</v>
      </c>
      <c r="H39" s="35">
        <v>2</v>
      </c>
      <c r="I39" s="35">
        <v>1</v>
      </c>
      <c r="J39" s="35">
        <v>0</v>
      </c>
      <c r="K39" s="35">
        <v>1</v>
      </c>
      <c r="L39" s="35">
        <f t="shared" si="2"/>
        <v>5</v>
      </c>
      <c r="M39" s="35">
        <f t="shared" si="1"/>
        <v>3</v>
      </c>
    </row>
    <row r="40" spans="1:13" x14ac:dyDescent="0.3">
      <c r="A40" s="63">
        <v>37</v>
      </c>
      <c r="B40" s="37" t="s">
        <v>288</v>
      </c>
      <c r="C40" s="5"/>
      <c r="D40" s="44" t="s">
        <v>267</v>
      </c>
      <c r="E40" s="62">
        <v>500</v>
      </c>
      <c r="F40" s="80">
        <v>7</v>
      </c>
      <c r="G40" s="35">
        <v>0</v>
      </c>
      <c r="H40" s="35">
        <v>0</v>
      </c>
      <c r="I40" s="35">
        <v>3</v>
      </c>
      <c r="J40" s="35">
        <v>0</v>
      </c>
      <c r="K40" s="35">
        <v>2</v>
      </c>
      <c r="L40" s="35">
        <f t="shared" si="2"/>
        <v>5</v>
      </c>
      <c r="M40" s="35">
        <f t="shared" si="1"/>
        <v>2</v>
      </c>
    </row>
    <row r="41" spans="1:13" x14ac:dyDescent="0.3">
      <c r="A41" s="63">
        <v>38</v>
      </c>
      <c r="B41" s="37" t="s">
        <v>291</v>
      </c>
      <c r="C41" s="77"/>
      <c r="D41" s="55" t="s">
        <v>140</v>
      </c>
      <c r="E41" s="62">
        <v>500</v>
      </c>
      <c r="F41" s="80">
        <v>6</v>
      </c>
      <c r="G41" s="35">
        <v>0</v>
      </c>
      <c r="H41" s="35">
        <v>1</v>
      </c>
      <c r="I41" s="35">
        <v>2</v>
      </c>
      <c r="J41" s="35">
        <v>2</v>
      </c>
      <c r="K41" s="35">
        <v>0</v>
      </c>
      <c r="L41" s="35">
        <f t="shared" si="2"/>
        <v>5</v>
      </c>
      <c r="M41" s="35">
        <f t="shared" si="1"/>
        <v>1</v>
      </c>
    </row>
    <row r="42" spans="1:13" x14ac:dyDescent="0.3">
      <c r="A42" s="63">
        <v>39</v>
      </c>
      <c r="B42" s="37" t="s">
        <v>124</v>
      </c>
      <c r="C42" s="77"/>
      <c r="D42" s="55" t="s">
        <v>179</v>
      </c>
      <c r="E42" s="62">
        <v>500</v>
      </c>
      <c r="F42" s="80">
        <v>6</v>
      </c>
      <c r="G42" s="35">
        <v>0</v>
      </c>
      <c r="H42" s="35">
        <v>0</v>
      </c>
      <c r="I42" s="35">
        <v>0</v>
      </c>
      <c r="J42" s="35">
        <v>1</v>
      </c>
      <c r="K42" s="35">
        <v>0</v>
      </c>
      <c r="L42" s="35">
        <f t="shared" si="2"/>
        <v>1</v>
      </c>
      <c r="M42" s="35">
        <f t="shared" si="1"/>
        <v>5</v>
      </c>
    </row>
    <row r="43" spans="1:13" x14ac:dyDescent="0.3">
      <c r="A43" s="63">
        <v>40</v>
      </c>
      <c r="B43" s="37" t="s">
        <v>178</v>
      </c>
      <c r="C43" s="5"/>
      <c r="D43" s="44" t="s">
        <v>177</v>
      </c>
      <c r="E43" s="62">
        <v>500</v>
      </c>
      <c r="F43" s="80">
        <v>6</v>
      </c>
      <c r="G43" s="35">
        <v>0</v>
      </c>
      <c r="H43" s="35">
        <v>0</v>
      </c>
      <c r="I43" s="35">
        <v>1</v>
      </c>
      <c r="J43" s="35">
        <v>2</v>
      </c>
      <c r="K43" s="35">
        <v>0</v>
      </c>
      <c r="L43" s="35">
        <f t="shared" si="2"/>
        <v>3</v>
      </c>
      <c r="M43" s="35">
        <f t="shared" si="1"/>
        <v>3</v>
      </c>
    </row>
    <row r="44" spans="1:13" x14ac:dyDescent="0.3">
      <c r="A44" s="63">
        <v>41</v>
      </c>
      <c r="B44" s="49" t="s">
        <v>176</v>
      </c>
      <c r="C44" s="5"/>
      <c r="D44" s="44" t="s">
        <v>177</v>
      </c>
      <c r="E44" s="62">
        <v>500</v>
      </c>
      <c r="F44" s="80">
        <v>6</v>
      </c>
      <c r="G44" s="35">
        <v>0</v>
      </c>
      <c r="H44" s="35">
        <v>0</v>
      </c>
      <c r="I44" s="35">
        <v>1</v>
      </c>
      <c r="J44" s="35">
        <v>1</v>
      </c>
      <c r="K44" s="35">
        <v>0</v>
      </c>
      <c r="L44" s="35">
        <f t="shared" si="2"/>
        <v>2</v>
      </c>
      <c r="M44" s="35">
        <f t="shared" si="1"/>
        <v>4</v>
      </c>
    </row>
    <row r="45" spans="1:13" x14ac:dyDescent="0.3">
      <c r="A45" s="63">
        <v>42</v>
      </c>
      <c r="B45" s="37" t="s">
        <v>292</v>
      </c>
      <c r="C45" s="77"/>
      <c r="D45" s="55" t="s">
        <v>293</v>
      </c>
      <c r="E45" s="62">
        <v>500</v>
      </c>
      <c r="F45" s="80">
        <v>5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f t="shared" si="2"/>
        <v>0</v>
      </c>
      <c r="M45" s="35">
        <f t="shared" si="1"/>
        <v>5</v>
      </c>
    </row>
    <row r="46" spans="1:13" x14ac:dyDescent="0.3">
      <c r="A46" s="63">
        <v>43</v>
      </c>
      <c r="B46" s="37" t="s">
        <v>317</v>
      </c>
      <c r="C46" s="77"/>
      <c r="D46" s="55" t="s">
        <v>315</v>
      </c>
      <c r="E46" s="62">
        <v>500</v>
      </c>
      <c r="F46" s="80">
        <v>7</v>
      </c>
      <c r="G46" s="35">
        <v>0</v>
      </c>
      <c r="H46" s="35">
        <v>0</v>
      </c>
      <c r="I46" s="35">
        <v>0</v>
      </c>
      <c r="J46" s="35">
        <v>1</v>
      </c>
      <c r="K46" s="35">
        <v>1</v>
      </c>
      <c r="L46" s="35">
        <f t="shared" si="2"/>
        <v>2</v>
      </c>
      <c r="M46" s="35">
        <f t="shared" si="1"/>
        <v>5</v>
      </c>
    </row>
    <row r="47" spans="1:13" x14ac:dyDescent="0.3">
      <c r="A47" s="63">
        <v>44</v>
      </c>
      <c r="B47" s="37" t="s">
        <v>318</v>
      </c>
      <c r="C47" s="77"/>
      <c r="D47" s="55" t="s">
        <v>315</v>
      </c>
      <c r="E47" s="62">
        <v>500</v>
      </c>
      <c r="F47" s="80">
        <v>6</v>
      </c>
      <c r="G47" s="35">
        <v>0</v>
      </c>
      <c r="H47" s="35">
        <v>1</v>
      </c>
      <c r="I47" s="35">
        <v>0</v>
      </c>
      <c r="J47" s="35">
        <v>2</v>
      </c>
      <c r="K47" s="35">
        <v>1</v>
      </c>
      <c r="L47" s="35">
        <f t="shared" si="2"/>
        <v>4</v>
      </c>
      <c r="M47" s="35">
        <f t="shared" si="1"/>
        <v>2</v>
      </c>
    </row>
    <row r="48" spans="1:13" x14ac:dyDescent="0.3">
      <c r="A48" s="63">
        <v>45</v>
      </c>
      <c r="B48" s="37" t="s">
        <v>372</v>
      </c>
      <c r="C48" s="77"/>
      <c r="D48" s="55" t="s">
        <v>191</v>
      </c>
      <c r="E48" s="62">
        <v>500</v>
      </c>
      <c r="F48" s="80">
        <v>7</v>
      </c>
      <c r="G48" s="35">
        <v>0</v>
      </c>
      <c r="H48" s="35">
        <v>1</v>
      </c>
      <c r="I48" s="35">
        <v>1</v>
      </c>
      <c r="J48" s="35">
        <v>1</v>
      </c>
      <c r="K48" s="35">
        <v>2</v>
      </c>
      <c r="L48" s="35">
        <f t="shared" si="2"/>
        <v>5</v>
      </c>
      <c r="M48" s="35">
        <f t="shared" si="1"/>
        <v>2</v>
      </c>
    </row>
    <row r="49" spans="1:13" x14ac:dyDescent="0.3">
      <c r="A49" s="63">
        <v>46</v>
      </c>
      <c r="B49" s="37" t="s">
        <v>371</v>
      </c>
      <c r="C49" s="77"/>
      <c r="D49" s="55" t="s">
        <v>191</v>
      </c>
      <c r="E49" s="62">
        <v>500</v>
      </c>
      <c r="F49" s="80">
        <v>7</v>
      </c>
      <c r="G49" s="35">
        <v>0</v>
      </c>
      <c r="H49" s="35">
        <v>1</v>
      </c>
      <c r="I49" s="35">
        <v>1</v>
      </c>
      <c r="J49" s="35">
        <v>3</v>
      </c>
      <c r="K49" s="35">
        <v>2</v>
      </c>
      <c r="L49" s="35">
        <f t="shared" si="2"/>
        <v>7</v>
      </c>
      <c r="M49" s="35">
        <f t="shared" si="1"/>
        <v>0</v>
      </c>
    </row>
    <row r="50" spans="1:13" x14ac:dyDescent="0.3">
      <c r="A50" s="63">
        <v>47</v>
      </c>
      <c r="B50" s="37" t="s">
        <v>355</v>
      </c>
      <c r="C50" s="77"/>
      <c r="D50" s="55" t="s">
        <v>191</v>
      </c>
      <c r="E50" s="62">
        <v>500</v>
      </c>
      <c r="F50" s="80">
        <v>7</v>
      </c>
      <c r="G50" s="35">
        <v>0</v>
      </c>
      <c r="H50" s="35">
        <v>0</v>
      </c>
      <c r="I50" s="35">
        <v>1</v>
      </c>
      <c r="J50" s="35">
        <v>0</v>
      </c>
      <c r="K50" s="35">
        <v>0</v>
      </c>
      <c r="L50" s="35">
        <f t="shared" si="2"/>
        <v>1</v>
      </c>
      <c r="M50" s="35">
        <f t="shared" si="1"/>
        <v>6</v>
      </c>
    </row>
    <row r="51" spans="1:13" x14ac:dyDescent="0.3">
      <c r="A51" s="63">
        <v>48</v>
      </c>
      <c r="B51" s="37" t="s">
        <v>263</v>
      </c>
      <c r="C51" s="77"/>
      <c r="D51" s="55" t="s">
        <v>138</v>
      </c>
      <c r="E51" s="62">
        <v>500</v>
      </c>
      <c r="F51" s="80">
        <v>6</v>
      </c>
      <c r="G51" s="35">
        <v>1</v>
      </c>
      <c r="H51" s="35">
        <v>0</v>
      </c>
      <c r="I51" s="35">
        <v>1</v>
      </c>
      <c r="J51" s="35">
        <v>0</v>
      </c>
      <c r="K51" s="35">
        <v>2</v>
      </c>
      <c r="L51" s="35">
        <f t="shared" si="2"/>
        <v>4</v>
      </c>
      <c r="M51" s="35">
        <f t="shared" si="1"/>
        <v>2</v>
      </c>
    </row>
    <row r="52" spans="1:13" x14ac:dyDescent="0.3">
      <c r="A52" s="63">
        <v>49</v>
      </c>
      <c r="B52" s="37" t="s">
        <v>336</v>
      </c>
      <c r="C52" s="77"/>
      <c r="D52" s="55" t="s">
        <v>150</v>
      </c>
      <c r="E52" s="62">
        <v>500</v>
      </c>
      <c r="F52" s="80">
        <v>7</v>
      </c>
      <c r="G52" s="35">
        <v>1</v>
      </c>
      <c r="H52" s="35">
        <v>0</v>
      </c>
      <c r="I52" s="35">
        <v>3</v>
      </c>
      <c r="J52" s="35">
        <v>1</v>
      </c>
      <c r="K52" s="35">
        <v>1</v>
      </c>
      <c r="L52" s="35">
        <f t="shared" si="2"/>
        <v>6</v>
      </c>
      <c r="M52" s="35">
        <f t="shared" si="1"/>
        <v>1</v>
      </c>
    </row>
    <row r="53" spans="1:13" x14ac:dyDescent="0.3">
      <c r="A53" s="63">
        <v>50</v>
      </c>
      <c r="B53" s="37" t="s">
        <v>351</v>
      </c>
      <c r="C53" s="77"/>
      <c r="D53" s="55" t="s">
        <v>356</v>
      </c>
      <c r="E53" s="62">
        <v>250</v>
      </c>
      <c r="F53" s="80">
        <v>8</v>
      </c>
      <c r="G53" s="35">
        <v>0</v>
      </c>
      <c r="H53" s="35">
        <v>0</v>
      </c>
      <c r="I53" s="35">
        <v>3</v>
      </c>
      <c r="J53" s="35">
        <v>2</v>
      </c>
      <c r="K53" s="35">
        <v>2</v>
      </c>
      <c r="L53" s="35">
        <f t="shared" si="2"/>
        <v>7</v>
      </c>
      <c r="M53" s="35">
        <f t="shared" si="1"/>
        <v>1</v>
      </c>
    </row>
    <row r="54" spans="1:13" x14ac:dyDescent="0.3">
      <c r="A54" s="63"/>
      <c r="B54" s="37"/>
      <c r="C54" s="77"/>
      <c r="D54" s="55"/>
      <c r="E54" s="62"/>
      <c r="F54" s="80"/>
      <c r="G54" s="35"/>
      <c r="H54" s="35"/>
      <c r="I54" s="35"/>
      <c r="J54" s="35"/>
      <c r="K54" s="35"/>
      <c r="L54" s="35"/>
      <c r="M54" s="35">
        <f t="shared" si="1"/>
        <v>0</v>
      </c>
    </row>
    <row r="55" spans="1:13" x14ac:dyDescent="0.3">
      <c r="A55" s="63"/>
      <c r="B55" s="37"/>
      <c r="C55" s="77"/>
      <c r="D55" s="55"/>
      <c r="E55" s="62"/>
      <c r="F55" s="80"/>
      <c r="G55" s="35"/>
      <c r="H55" s="35"/>
      <c r="I55" s="35"/>
      <c r="J55" s="35"/>
      <c r="K55" s="35"/>
      <c r="L55" s="35"/>
      <c r="M55" s="35">
        <f t="shared" si="1"/>
        <v>0</v>
      </c>
    </row>
    <row r="56" spans="1:13" ht="18" x14ac:dyDescent="0.35">
      <c r="A56" s="43"/>
      <c r="B56" s="37"/>
      <c r="C56" s="77"/>
      <c r="D56" s="55"/>
      <c r="E56" s="76">
        <f>SUM(E8:E55)</f>
        <v>18750</v>
      </c>
      <c r="F56" s="81">
        <f>SUM(F8:F55)</f>
        <v>375</v>
      </c>
      <c r="G56" s="79">
        <f>SUM(G4:G55)</f>
        <v>36</v>
      </c>
      <c r="H56" s="85">
        <f>SUM(H4:H55)</f>
        <v>44</v>
      </c>
      <c r="I56" s="85">
        <f>SUM(I4:I55)</f>
        <v>73</v>
      </c>
      <c r="J56" s="85">
        <f>SUM(J4:J55)</f>
        <v>73</v>
      </c>
      <c r="K56" s="85">
        <f>SUM(K4:K55)</f>
        <v>70</v>
      </c>
      <c r="L56" s="87">
        <f>SUM(G56:K56)</f>
        <v>296</v>
      </c>
      <c r="M56" s="88">
        <f t="shared" si="1"/>
        <v>79</v>
      </c>
    </row>
    <row r="57" spans="1:13" x14ac:dyDescent="0.3">
      <c r="A57" s="1"/>
    </row>
    <row r="58" spans="1:13" x14ac:dyDescent="0.3">
      <c r="A58" s="1"/>
    </row>
    <row r="59" spans="1:13" x14ac:dyDescent="0.3">
      <c r="A59" s="1"/>
    </row>
    <row r="60" spans="1:13" x14ac:dyDescent="0.3">
      <c r="A60" s="1"/>
    </row>
    <row r="61" spans="1:13" x14ac:dyDescent="0.3">
      <c r="A61" s="1"/>
    </row>
    <row r="62" spans="1:13" x14ac:dyDescent="0.3">
      <c r="A62" s="1"/>
    </row>
    <row r="63" spans="1:13" x14ac:dyDescent="0.3">
      <c r="A63" s="1"/>
    </row>
    <row r="64" spans="1:13" x14ac:dyDescent="0.3">
      <c r="A64" s="1"/>
    </row>
  </sheetData>
  <mergeCells count="14">
    <mergeCell ref="K2:K3"/>
    <mergeCell ref="L2:L3"/>
    <mergeCell ref="M2:M3"/>
    <mergeCell ref="A1:M1"/>
    <mergeCell ref="G2:G3"/>
    <mergeCell ref="H2:H3"/>
    <mergeCell ref="I2:I3"/>
    <mergeCell ref="J2:J3"/>
    <mergeCell ref="A2:A3"/>
    <mergeCell ref="B2:B3"/>
    <mergeCell ref="D2:D3"/>
    <mergeCell ref="E2:E3"/>
    <mergeCell ref="F2:F3"/>
    <mergeCell ref="C2:C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1B89-0559-4DF7-8979-DCBAD36F649C}">
  <dimension ref="A1:Q109"/>
  <sheetViews>
    <sheetView topLeftCell="A42" zoomScale="80" zoomScaleNormal="80" workbookViewId="0">
      <selection activeCell="E80" sqref="E80"/>
    </sheetView>
  </sheetViews>
  <sheetFormatPr defaultRowHeight="14.4" x14ac:dyDescent="0.3"/>
  <cols>
    <col min="1" max="1" width="8.88671875" style="83"/>
    <col min="2" max="2" width="66.5546875" style="83" customWidth="1"/>
    <col min="3" max="3" width="11.109375" style="84" customWidth="1"/>
    <col min="4" max="4" width="9.109375" style="84" customWidth="1"/>
    <col min="5" max="5" width="21.88671875" style="83" customWidth="1"/>
    <col min="6" max="6" width="20" style="83" customWidth="1"/>
    <col min="7" max="7" width="21" style="83" customWidth="1"/>
    <col min="8" max="16" width="8.88671875" style="84" customWidth="1"/>
    <col min="17" max="17" width="17.33203125" style="84" customWidth="1"/>
    <col min="18" max="16384" width="8.88671875" style="83"/>
  </cols>
  <sheetData>
    <row r="1" spans="1:17" s="82" customFormat="1" ht="26.4" customHeight="1" x14ac:dyDescent="0.3">
      <c r="A1" s="247" t="s">
        <v>475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</row>
    <row r="2" spans="1:17" s="82" customFormat="1" ht="17.399999999999999" customHeight="1" x14ac:dyDescent="0.3">
      <c r="A2" s="244" t="s">
        <v>0</v>
      </c>
      <c r="B2" s="234" t="s">
        <v>3</v>
      </c>
      <c r="C2" s="229" t="s">
        <v>8</v>
      </c>
      <c r="D2" s="229" t="s">
        <v>5</v>
      </c>
      <c r="E2" s="234" t="s">
        <v>1</v>
      </c>
      <c r="F2" s="236" t="s">
        <v>389</v>
      </c>
      <c r="G2" s="236" t="s">
        <v>427</v>
      </c>
      <c r="H2" s="249" t="s">
        <v>381</v>
      </c>
      <c r="I2" s="249"/>
      <c r="J2" s="249"/>
      <c r="K2" s="249"/>
      <c r="L2" s="249"/>
      <c r="M2" s="249"/>
      <c r="N2" s="249"/>
      <c r="O2" s="249"/>
      <c r="P2" s="249"/>
      <c r="Q2" s="236" t="s">
        <v>434</v>
      </c>
    </row>
    <row r="3" spans="1:17" s="82" customFormat="1" ht="51.6" customHeight="1" x14ac:dyDescent="0.3">
      <c r="A3" s="244"/>
      <c r="B3" s="234"/>
      <c r="C3" s="230"/>
      <c r="D3" s="230"/>
      <c r="E3" s="234"/>
      <c r="F3" s="237"/>
      <c r="G3" s="237"/>
      <c r="H3" s="89" t="s">
        <v>374</v>
      </c>
      <c r="I3" s="89" t="s">
        <v>375</v>
      </c>
      <c r="J3" s="89" t="s">
        <v>376</v>
      </c>
      <c r="K3" s="89" t="s">
        <v>377</v>
      </c>
      <c r="L3" s="89" t="s">
        <v>378</v>
      </c>
      <c r="M3" s="89" t="s">
        <v>379</v>
      </c>
      <c r="N3" s="89" t="s">
        <v>380</v>
      </c>
      <c r="O3" s="89" t="s">
        <v>435</v>
      </c>
      <c r="P3" s="89" t="s">
        <v>436</v>
      </c>
      <c r="Q3" s="237"/>
    </row>
    <row r="4" spans="1:17" s="82" customFormat="1" ht="15" x14ac:dyDescent="0.3">
      <c r="A4" s="63">
        <v>1</v>
      </c>
      <c r="B4" s="37" t="s">
        <v>51</v>
      </c>
      <c r="C4" s="118" t="s">
        <v>313</v>
      </c>
      <c r="D4" s="5">
        <v>300</v>
      </c>
      <c r="E4" s="44" t="s">
        <v>159</v>
      </c>
      <c r="F4" s="80">
        <v>20</v>
      </c>
      <c r="G4" s="80">
        <v>15</v>
      </c>
      <c r="H4" s="90">
        <v>3</v>
      </c>
      <c r="I4" s="90">
        <v>2</v>
      </c>
      <c r="J4" s="90">
        <v>1</v>
      </c>
      <c r="K4" s="90">
        <v>1</v>
      </c>
      <c r="L4" s="90">
        <v>1</v>
      </c>
      <c r="M4" s="90"/>
      <c r="N4" s="90"/>
      <c r="O4" s="90">
        <v>2</v>
      </c>
      <c r="P4" s="90">
        <v>2</v>
      </c>
      <c r="Q4" s="90">
        <f t="shared" ref="Q4:Q35" si="0">SUM(H4:P4)</f>
        <v>12</v>
      </c>
    </row>
    <row r="5" spans="1:17" s="82" customFormat="1" ht="15" x14ac:dyDescent="0.3">
      <c r="A5" s="63">
        <v>2</v>
      </c>
      <c r="B5" s="37" t="s">
        <v>52</v>
      </c>
      <c r="C5" s="118" t="s">
        <v>313</v>
      </c>
      <c r="D5" s="5">
        <v>600</v>
      </c>
      <c r="E5" s="44" t="s">
        <v>159</v>
      </c>
      <c r="F5" s="80">
        <v>12</v>
      </c>
      <c r="G5" s="80">
        <v>12</v>
      </c>
      <c r="H5" s="90"/>
      <c r="I5" s="90">
        <v>2</v>
      </c>
      <c r="J5" s="90"/>
      <c r="K5" s="90"/>
      <c r="L5" s="90">
        <v>3</v>
      </c>
      <c r="M5" s="90"/>
      <c r="N5" s="90"/>
      <c r="O5" s="90">
        <v>1</v>
      </c>
      <c r="P5" s="90">
        <v>2</v>
      </c>
      <c r="Q5" s="90">
        <f t="shared" si="0"/>
        <v>8</v>
      </c>
    </row>
    <row r="6" spans="1:17" s="82" customFormat="1" ht="15" x14ac:dyDescent="0.3">
      <c r="A6" s="63">
        <v>3</v>
      </c>
      <c r="B6" s="37" t="s">
        <v>53</v>
      </c>
      <c r="C6" s="118" t="s">
        <v>313</v>
      </c>
      <c r="D6" s="5">
        <v>350</v>
      </c>
      <c r="E6" s="44" t="s">
        <v>159</v>
      </c>
      <c r="F6" s="80">
        <v>12</v>
      </c>
      <c r="G6" s="80">
        <v>12</v>
      </c>
      <c r="H6" s="90"/>
      <c r="I6" s="90"/>
      <c r="J6" s="90"/>
      <c r="K6" s="90">
        <v>1</v>
      </c>
      <c r="L6" s="90"/>
      <c r="M6" s="90"/>
      <c r="N6" s="90"/>
      <c r="O6" s="90">
        <v>2</v>
      </c>
      <c r="P6" s="90">
        <v>2</v>
      </c>
      <c r="Q6" s="90">
        <f t="shared" si="0"/>
        <v>5</v>
      </c>
    </row>
    <row r="7" spans="1:17" s="82" customFormat="1" ht="15" customHeight="1" x14ac:dyDescent="0.3">
      <c r="A7" s="63">
        <v>4</v>
      </c>
      <c r="B7" s="37" t="s">
        <v>277</v>
      </c>
      <c r="C7" s="118" t="s">
        <v>313</v>
      </c>
      <c r="D7" s="5">
        <v>480</v>
      </c>
      <c r="E7" s="44" t="s">
        <v>159</v>
      </c>
      <c r="F7" s="80">
        <v>20</v>
      </c>
      <c r="G7" s="80">
        <v>15</v>
      </c>
      <c r="H7" s="90"/>
      <c r="I7" s="90">
        <v>1</v>
      </c>
      <c r="J7" s="90">
        <v>3</v>
      </c>
      <c r="K7" s="90"/>
      <c r="L7" s="90"/>
      <c r="M7" s="90"/>
      <c r="N7" s="90"/>
      <c r="O7" s="90">
        <v>5</v>
      </c>
      <c r="P7" s="90">
        <v>4</v>
      </c>
      <c r="Q7" s="90">
        <f t="shared" si="0"/>
        <v>13</v>
      </c>
    </row>
    <row r="8" spans="1:17" s="82" customFormat="1" ht="15" x14ac:dyDescent="0.3">
      <c r="A8" s="63">
        <v>5</v>
      </c>
      <c r="B8" s="37" t="s">
        <v>383</v>
      </c>
      <c r="C8" s="5">
        <v>800</v>
      </c>
      <c r="D8" s="5">
        <v>350</v>
      </c>
      <c r="E8" s="44" t="s">
        <v>160</v>
      </c>
      <c r="F8" s="80">
        <v>9</v>
      </c>
      <c r="G8" s="80">
        <v>15</v>
      </c>
      <c r="H8" s="90"/>
      <c r="I8" s="90"/>
      <c r="J8" s="90">
        <v>1</v>
      </c>
      <c r="K8" s="90"/>
      <c r="L8" s="90">
        <v>2</v>
      </c>
      <c r="M8" s="90"/>
      <c r="N8" s="90"/>
      <c r="O8" s="90"/>
      <c r="P8" s="90"/>
      <c r="Q8" s="90">
        <f t="shared" si="0"/>
        <v>3</v>
      </c>
    </row>
    <row r="9" spans="1:17" s="82" customFormat="1" ht="15" x14ac:dyDescent="0.3">
      <c r="A9" s="63">
        <v>6</v>
      </c>
      <c r="B9" s="37" t="s">
        <v>241</v>
      </c>
      <c r="C9" s="5">
        <v>800</v>
      </c>
      <c r="D9" s="5">
        <v>250</v>
      </c>
      <c r="E9" s="44" t="s">
        <v>160</v>
      </c>
      <c r="F9" s="80">
        <v>10</v>
      </c>
      <c r="G9" s="80">
        <v>15</v>
      </c>
      <c r="H9" s="90"/>
      <c r="I9" s="90"/>
      <c r="J9" s="90"/>
      <c r="K9" s="90"/>
      <c r="L9" s="90"/>
      <c r="M9" s="90"/>
      <c r="N9" s="90"/>
      <c r="O9" s="90"/>
      <c r="P9" s="90"/>
      <c r="Q9" s="90">
        <f t="shared" si="0"/>
        <v>0</v>
      </c>
    </row>
    <row r="10" spans="1:17" s="82" customFormat="1" ht="15" x14ac:dyDescent="0.3">
      <c r="A10" s="63">
        <v>7</v>
      </c>
      <c r="B10" s="37" t="s">
        <v>58</v>
      </c>
      <c r="C10" s="5">
        <v>800</v>
      </c>
      <c r="D10" s="5">
        <v>350</v>
      </c>
      <c r="E10" s="44" t="s">
        <v>160</v>
      </c>
      <c r="F10" s="80">
        <v>12</v>
      </c>
      <c r="G10" s="80">
        <v>15</v>
      </c>
      <c r="H10" s="90"/>
      <c r="I10" s="90"/>
      <c r="J10" s="90"/>
      <c r="K10" s="90"/>
      <c r="L10" s="90">
        <v>1</v>
      </c>
      <c r="M10" s="90"/>
      <c r="N10" s="90"/>
      <c r="O10" s="90"/>
      <c r="P10" s="90">
        <v>2</v>
      </c>
      <c r="Q10" s="90">
        <f t="shared" si="0"/>
        <v>3</v>
      </c>
    </row>
    <row r="11" spans="1:17" s="82" customFormat="1" ht="15" x14ac:dyDescent="0.3">
      <c r="A11" s="63">
        <v>8</v>
      </c>
      <c r="B11" s="37" t="s">
        <v>314</v>
      </c>
      <c r="C11" s="5">
        <v>800</v>
      </c>
      <c r="D11" s="5">
        <v>300</v>
      </c>
      <c r="E11" s="106" t="s">
        <v>161</v>
      </c>
      <c r="F11" s="80">
        <v>12</v>
      </c>
      <c r="G11" s="80">
        <v>12</v>
      </c>
      <c r="H11" s="90">
        <v>1</v>
      </c>
      <c r="I11" s="90"/>
      <c r="J11" s="90"/>
      <c r="K11" s="90">
        <v>1</v>
      </c>
      <c r="L11" s="90"/>
      <c r="M11" s="90"/>
      <c r="N11" s="90"/>
      <c r="O11" s="90"/>
      <c r="P11" s="90"/>
      <c r="Q11" s="90">
        <f t="shared" si="0"/>
        <v>2</v>
      </c>
    </row>
    <row r="12" spans="1:17" s="82" customFormat="1" ht="15" x14ac:dyDescent="0.3">
      <c r="A12" s="63">
        <v>9</v>
      </c>
      <c r="B12" s="37" t="s">
        <v>357</v>
      </c>
      <c r="C12" s="5">
        <v>800</v>
      </c>
      <c r="D12" s="5">
        <v>350</v>
      </c>
      <c r="E12" s="106" t="s">
        <v>161</v>
      </c>
      <c r="F12" s="80">
        <v>18</v>
      </c>
      <c r="G12" s="80">
        <v>15</v>
      </c>
      <c r="H12" s="90"/>
      <c r="I12" s="90"/>
      <c r="J12" s="90"/>
      <c r="K12" s="90">
        <v>1</v>
      </c>
      <c r="L12" s="90"/>
      <c r="M12" s="90"/>
      <c r="N12" s="90"/>
      <c r="O12" s="90">
        <v>1</v>
      </c>
      <c r="P12" s="90"/>
      <c r="Q12" s="90">
        <f t="shared" si="0"/>
        <v>2</v>
      </c>
    </row>
    <row r="13" spans="1:17" s="82" customFormat="1" ht="15" x14ac:dyDescent="0.3">
      <c r="A13" s="63">
        <v>10</v>
      </c>
      <c r="B13" s="37" t="s">
        <v>358</v>
      </c>
      <c r="C13" s="5">
        <v>800</v>
      </c>
      <c r="D13" s="5">
        <v>350</v>
      </c>
      <c r="E13" s="106" t="s">
        <v>161</v>
      </c>
      <c r="F13" s="80">
        <v>18</v>
      </c>
      <c r="G13" s="80">
        <v>15</v>
      </c>
      <c r="H13" s="90"/>
      <c r="I13" s="90"/>
      <c r="J13" s="90"/>
      <c r="K13" s="90"/>
      <c r="L13" s="90">
        <v>1</v>
      </c>
      <c r="M13" s="90"/>
      <c r="N13" s="90"/>
      <c r="O13" s="90">
        <v>1</v>
      </c>
      <c r="P13" s="90"/>
      <c r="Q13" s="90">
        <f t="shared" si="0"/>
        <v>2</v>
      </c>
    </row>
    <row r="14" spans="1:17" s="82" customFormat="1" ht="15" x14ac:dyDescent="0.3">
      <c r="A14" s="63">
        <v>11</v>
      </c>
      <c r="B14" s="37" t="s">
        <v>47</v>
      </c>
      <c r="C14" s="5">
        <v>800</v>
      </c>
      <c r="D14" s="5">
        <v>500</v>
      </c>
      <c r="E14" s="106" t="s">
        <v>161</v>
      </c>
      <c r="F14" s="80">
        <v>12</v>
      </c>
      <c r="G14" s="80">
        <v>12</v>
      </c>
      <c r="H14" s="90"/>
      <c r="I14" s="90"/>
      <c r="J14" s="90"/>
      <c r="K14" s="90">
        <v>1</v>
      </c>
      <c r="L14" s="90"/>
      <c r="M14" s="90"/>
      <c r="N14" s="90"/>
      <c r="O14" s="90">
        <v>1</v>
      </c>
      <c r="P14" s="90"/>
      <c r="Q14" s="90">
        <f t="shared" si="0"/>
        <v>2</v>
      </c>
    </row>
    <row r="15" spans="1:17" s="82" customFormat="1" ht="15" x14ac:dyDescent="0.3">
      <c r="A15" s="63">
        <v>12</v>
      </c>
      <c r="B15" s="37" t="s">
        <v>105</v>
      </c>
      <c r="C15" s="5">
        <v>800</v>
      </c>
      <c r="D15" s="5">
        <v>220</v>
      </c>
      <c r="E15" s="44" t="s">
        <v>148</v>
      </c>
      <c r="F15" s="80">
        <v>10</v>
      </c>
      <c r="G15" s="80">
        <v>10</v>
      </c>
      <c r="H15" s="90"/>
      <c r="I15" s="90"/>
      <c r="J15" s="90"/>
      <c r="K15" s="90"/>
      <c r="L15" s="90"/>
      <c r="M15" s="90"/>
      <c r="N15" s="90"/>
      <c r="O15" s="90"/>
      <c r="P15" s="90"/>
      <c r="Q15" s="90">
        <f t="shared" si="0"/>
        <v>0</v>
      </c>
    </row>
    <row r="16" spans="1:17" s="82" customFormat="1" ht="15" x14ac:dyDescent="0.3">
      <c r="A16" s="63">
        <v>13</v>
      </c>
      <c r="B16" s="37" t="s">
        <v>139</v>
      </c>
      <c r="C16" s="5">
        <v>800</v>
      </c>
      <c r="D16" s="5">
        <v>220</v>
      </c>
      <c r="E16" s="44" t="s">
        <v>148</v>
      </c>
      <c r="F16" s="80">
        <v>10</v>
      </c>
      <c r="G16" s="80">
        <v>10</v>
      </c>
      <c r="H16" s="90"/>
      <c r="I16" s="90"/>
      <c r="J16" s="90"/>
      <c r="K16" s="90"/>
      <c r="L16" s="90"/>
      <c r="M16" s="90"/>
      <c r="N16" s="90"/>
      <c r="O16" s="90"/>
      <c r="P16" s="90"/>
      <c r="Q16" s="90">
        <f t="shared" si="0"/>
        <v>0</v>
      </c>
    </row>
    <row r="17" spans="1:17" s="82" customFormat="1" ht="15" x14ac:dyDescent="0.3">
      <c r="A17" s="63">
        <v>14</v>
      </c>
      <c r="B17" s="37" t="s">
        <v>90</v>
      </c>
      <c r="C17" s="5">
        <v>800</v>
      </c>
      <c r="D17" s="5">
        <v>220</v>
      </c>
      <c r="E17" s="44" t="s">
        <v>148</v>
      </c>
      <c r="F17" s="80">
        <v>10</v>
      </c>
      <c r="G17" s="80">
        <v>15</v>
      </c>
      <c r="H17" s="90"/>
      <c r="I17" s="90"/>
      <c r="J17" s="90"/>
      <c r="K17" s="90">
        <v>1</v>
      </c>
      <c r="L17" s="90"/>
      <c r="M17" s="90"/>
      <c r="N17" s="90"/>
      <c r="O17" s="90"/>
      <c r="P17" s="90"/>
      <c r="Q17" s="90">
        <f t="shared" si="0"/>
        <v>1</v>
      </c>
    </row>
    <row r="18" spans="1:17" s="82" customFormat="1" ht="15" x14ac:dyDescent="0.3">
      <c r="A18" s="63">
        <v>15</v>
      </c>
      <c r="B18" s="37" t="s">
        <v>422</v>
      </c>
      <c r="C18" s="5">
        <v>800</v>
      </c>
      <c r="D18" s="5">
        <v>250</v>
      </c>
      <c r="E18" s="44" t="s">
        <v>148</v>
      </c>
      <c r="F18" s="80">
        <v>10</v>
      </c>
      <c r="G18" s="80">
        <v>15</v>
      </c>
      <c r="H18" s="90"/>
      <c r="I18" s="90">
        <v>1</v>
      </c>
      <c r="J18" s="90">
        <v>1</v>
      </c>
      <c r="K18" s="90">
        <v>1</v>
      </c>
      <c r="L18" s="90"/>
      <c r="M18" s="90"/>
      <c r="N18" s="90">
        <v>1</v>
      </c>
      <c r="O18" s="90"/>
      <c r="P18" s="90"/>
      <c r="Q18" s="90">
        <f t="shared" si="0"/>
        <v>4</v>
      </c>
    </row>
    <row r="19" spans="1:17" ht="15" x14ac:dyDescent="0.3">
      <c r="A19" s="63">
        <v>16</v>
      </c>
      <c r="B19" s="37" t="s">
        <v>188</v>
      </c>
      <c r="C19" s="121">
        <v>800</v>
      </c>
      <c r="D19" s="5">
        <v>220</v>
      </c>
      <c r="E19" s="44" t="s">
        <v>187</v>
      </c>
      <c r="F19" s="80">
        <v>7</v>
      </c>
      <c r="G19" s="80">
        <v>7</v>
      </c>
      <c r="H19" s="90"/>
      <c r="I19" s="90"/>
      <c r="J19" s="90"/>
      <c r="K19" s="90"/>
      <c r="L19" s="90"/>
      <c r="M19" s="90"/>
      <c r="N19" s="90"/>
      <c r="O19" s="90"/>
      <c r="P19" s="90"/>
      <c r="Q19" s="90">
        <f t="shared" si="0"/>
        <v>0</v>
      </c>
    </row>
    <row r="20" spans="1:17" ht="15" x14ac:dyDescent="0.3">
      <c r="A20" s="63">
        <v>17</v>
      </c>
      <c r="B20" s="37" t="s">
        <v>85</v>
      </c>
      <c r="C20" s="5">
        <v>800</v>
      </c>
      <c r="D20" s="5">
        <v>500</v>
      </c>
      <c r="E20" s="44" t="s">
        <v>164</v>
      </c>
      <c r="F20" s="80">
        <v>7</v>
      </c>
      <c r="G20" s="80">
        <v>7</v>
      </c>
      <c r="H20" s="90"/>
      <c r="I20" s="90"/>
      <c r="J20" s="90"/>
      <c r="K20" s="90">
        <v>1</v>
      </c>
      <c r="L20" s="90"/>
      <c r="M20" s="90"/>
      <c r="N20" s="90"/>
      <c r="O20" s="90"/>
      <c r="P20" s="90"/>
      <c r="Q20" s="90">
        <f t="shared" si="0"/>
        <v>1</v>
      </c>
    </row>
    <row r="21" spans="1:17" ht="15" x14ac:dyDescent="0.3">
      <c r="A21" s="63">
        <v>18</v>
      </c>
      <c r="B21" s="37" t="s">
        <v>109</v>
      </c>
      <c r="C21" s="5">
        <v>800</v>
      </c>
      <c r="D21" s="5">
        <v>400</v>
      </c>
      <c r="E21" s="44" t="s">
        <v>147</v>
      </c>
      <c r="F21" s="80">
        <v>18</v>
      </c>
      <c r="G21" s="80">
        <v>15</v>
      </c>
      <c r="H21" s="90"/>
      <c r="I21" s="90"/>
      <c r="J21" s="90">
        <v>1</v>
      </c>
      <c r="K21" s="90"/>
      <c r="L21" s="90"/>
      <c r="M21" s="90"/>
      <c r="N21" s="90"/>
      <c r="O21" s="90">
        <v>2</v>
      </c>
      <c r="P21" s="90">
        <v>1</v>
      </c>
      <c r="Q21" s="90">
        <f t="shared" si="0"/>
        <v>4</v>
      </c>
    </row>
    <row r="22" spans="1:17" ht="15" x14ac:dyDescent="0.3">
      <c r="A22" s="63">
        <v>19</v>
      </c>
      <c r="B22" s="37" t="s">
        <v>110</v>
      </c>
      <c r="C22" s="5">
        <v>800</v>
      </c>
      <c r="D22" s="5">
        <v>300</v>
      </c>
      <c r="E22" s="44" t="s">
        <v>147</v>
      </c>
      <c r="F22" s="80">
        <v>18</v>
      </c>
      <c r="G22" s="80">
        <v>13</v>
      </c>
      <c r="H22" s="90"/>
      <c r="I22" s="90"/>
      <c r="J22" s="90"/>
      <c r="K22" s="90">
        <v>1</v>
      </c>
      <c r="L22" s="90"/>
      <c r="M22" s="90"/>
      <c r="N22" s="90"/>
      <c r="O22" s="90">
        <v>1</v>
      </c>
      <c r="P22" s="90"/>
      <c r="Q22" s="90">
        <f t="shared" si="0"/>
        <v>2</v>
      </c>
    </row>
    <row r="23" spans="1:17" ht="15" x14ac:dyDescent="0.3">
      <c r="A23" s="63">
        <v>20</v>
      </c>
      <c r="B23" s="37" t="s">
        <v>65</v>
      </c>
      <c r="C23" s="5">
        <v>800</v>
      </c>
      <c r="D23" s="5">
        <v>220</v>
      </c>
      <c r="E23" s="44" t="s">
        <v>153</v>
      </c>
      <c r="F23" s="80">
        <v>18</v>
      </c>
      <c r="G23" s="80">
        <v>12</v>
      </c>
      <c r="H23" s="90"/>
      <c r="I23" s="90"/>
      <c r="J23" s="90"/>
      <c r="K23" s="90">
        <v>1</v>
      </c>
      <c r="L23" s="90"/>
      <c r="M23" s="90"/>
      <c r="N23" s="90"/>
      <c r="O23" s="90">
        <v>1</v>
      </c>
      <c r="P23" s="90"/>
      <c r="Q23" s="90">
        <f t="shared" si="0"/>
        <v>2</v>
      </c>
    </row>
    <row r="24" spans="1:17" ht="15" x14ac:dyDescent="0.3">
      <c r="A24" s="63">
        <v>21</v>
      </c>
      <c r="B24" s="37" t="s">
        <v>244</v>
      </c>
      <c r="C24" s="5">
        <v>800</v>
      </c>
      <c r="D24" s="5">
        <v>220</v>
      </c>
      <c r="E24" s="44" t="s">
        <v>153</v>
      </c>
      <c r="F24" s="80">
        <v>18</v>
      </c>
      <c r="G24" s="80">
        <v>8</v>
      </c>
      <c r="H24" s="90"/>
      <c r="I24" s="90"/>
      <c r="J24" s="90"/>
      <c r="K24" s="90">
        <v>1</v>
      </c>
      <c r="L24" s="90"/>
      <c r="M24" s="90"/>
      <c r="N24" s="90"/>
      <c r="O24" s="90">
        <v>1</v>
      </c>
      <c r="P24" s="90"/>
      <c r="Q24" s="90">
        <f t="shared" si="0"/>
        <v>2</v>
      </c>
    </row>
    <row r="25" spans="1:17" ht="15" x14ac:dyDescent="0.3">
      <c r="A25" s="63">
        <v>22</v>
      </c>
      <c r="B25" s="37" t="s">
        <v>111</v>
      </c>
      <c r="C25" s="5">
        <v>800</v>
      </c>
      <c r="D25" s="5">
        <v>220</v>
      </c>
      <c r="E25" s="44" t="s">
        <v>153</v>
      </c>
      <c r="F25" s="80">
        <v>12</v>
      </c>
      <c r="G25" s="80">
        <v>12</v>
      </c>
      <c r="H25" s="90"/>
      <c r="I25" s="90"/>
      <c r="J25" s="90"/>
      <c r="K25" s="90"/>
      <c r="L25" s="90"/>
      <c r="M25" s="90">
        <v>1</v>
      </c>
      <c r="N25" s="90"/>
      <c r="O25" s="90">
        <v>2</v>
      </c>
      <c r="P25" s="90"/>
      <c r="Q25" s="90">
        <f t="shared" si="0"/>
        <v>3</v>
      </c>
    </row>
    <row r="26" spans="1:17" ht="15" x14ac:dyDescent="0.3">
      <c r="A26" s="63">
        <v>23</v>
      </c>
      <c r="B26" s="37" t="s">
        <v>89</v>
      </c>
      <c r="C26" s="5">
        <v>800</v>
      </c>
      <c r="D26" s="5">
        <v>450</v>
      </c>
      <c r="E26" s="44" t="s">
        <v>157</v>
      </c>
      <c r="F26" s="80">
        <v>10</v>
      </c>
      <c r="G26" s="80">
        <v>10</v>
      </c>
      <c r="H26" s="90"/>
      <c r="I26" s="90"/>
      <c r="J26" s="90"/>
      <c r="K26" s="90"/>
      <c r="L26" s="90"/>
      <c r="M26" s="90"/>
      <c r="N26" s="90"/>
      <c r="O26" s="90"/>
      <c r="P26" s="90">
        <v>1</v>
      </c>
      <c r="Q26" s="90">
        <f t="shared" si="0"/>
        <v>1</v>
      </c>
    </row>
    <row r="27" spans="1:17" ht="15" x14ac:dyDescent="0.3">
      <c r="A27" s="63">
        <v>24</v>
      </c>
      <c r="B27" s="37" t="s">
        <v>282</v>
      </c>
      <c r="C27" s="118" t="s">
        <v>313</v>
      </c>
      <c r="D27" s="5">
        <v>375</v>
      </c>
      <c r="E27" s="44" t="s">
        <v>152</v>
      </c>
      <c r="F27" s="80">
        <v>8</v>
      </c>
      <c r="G27" s="80">
        <v>10</v>
      </c>
      <c r="H27" s="90"/>
      <c r="I27" s="90"/>
      <c r="J27" s="90"/>
      <c r="K27" s="90"/>
      <c r="L27" s="90"/>
      <c r="M27" s="90"/>
      <c r="N27" s="90">
        <v>1</v>
      </c>
      <c r="O27" s="90"/>
      <c r="P27" s="90"/>
      <c r="Q27" s="90">
        <f t="shared" si="0"/>
        <v>1</v>
      </c>
    </row>
    <row r="28" spans="1:17" ht="15" x14ac:dyDescent="0.3">
      <c r="A28" s="63">
        <v>25</v>
      </c>
      <c r="B28" s="37" t="s">
        <v>425</v>
      </c>
      <c r="C28" s="118" t="s">
        <v>313</v>
      </c>
      <c r="D28" s="5">
        <v>350</v>
      </c>
      <c r="E28" s="44" t="s">
        <v>152</v>
      </c>
      <c r="F28" s="80">
        <v>12</v>
      </c>
      <c r="G28" s="80">
        <v>10</v>
      </c>
      <c r="H28" s="90"/>
      <c r="I28" s="90"/>
      <c r="J28" s="90"/>
      <c r="K28" s="90"/>
      <c r="L28" s="90"/>
      <c r="M28" s="90"/>
      <c r="N28" s="90"/>
      <c r="O28" s="90"/>
      <c r="P28" s="90"/>
      <c r="Q28" s="90">
        <f t="shared" si="0"/>
        <v>0</v>
      </c>
    </row>
    <row r="29" spans="1:17" ht="15" x14ac:dyDescent="0.3">
      <c r="A29" s="63">
        <v>26</v>
      </c>
      <c r="B29" s="37" t="s">
        <v>91</v>
      </c>
      <c r="C29" s="5">
        <v>800</v>
      </c>
      <c r="D29" s="5">
        <v>300</v>
      </c>
      <c r="E29" s="44" t="s">
        <v>149</v>
      </c>
      <c r="F29" s="80">
        <v>15</v>
      </c>
      <c r="G29" s="80">
        <v>15</v>
      </c>
      <c r="H29" s="90"/>
      <c r="I29" s="90"/>
      <c r="J29" s="90"/>
      <c r="K29" s="90">
        <v>1</v>
      </c>
      <c r="L29" s="90"/>
      <c r="M29" s="90"/>
      <c r="N29" s="90"/>
      <c r="O29" s="90"/>
      <c r="P29" s="90"/>
      <c r="Q29" s="90">
        <f t="shared" si="0"/>
        <v>1</v>
      </c>
    </row>
    <row r="30" spans="1:17" ht="15" x14ac:dyDescent="0.3">
      <c r="A30" s="63">
        <v>27</v>
      </c>
      <c r="B30" s="37" t="s">
        <v>340</v>
      </c>
      <c r="C30" s="5">
        <v>800</v>
      </c>
      <c r="D30" s="5">
        <v>100</v>
      </c>
      <c r="E30" s="44" t="s">
        <v>149</v>
      </c>
      <c r="F30" s="80">
        <v>15</v>
      </c>
      <c r="G30" s="80">
        <v>15</v>
      </c>
      <c r="H30" s="90"/>
      <c r="I30" s="90"/>
      <c r="J30" s="90"/>
      <c r="K30" s="90"/>
      <c r="L30" s="90"/>
      <c r="M30" s="90"/>
      <c r="N30" s="90"/>
      <c r="O30" s="90"/>
      <c r="P30" s="90"/>
      <c r="Q30" s="90">
        <f t="shared" si="0"/>
        <v>0</v>
      </c>
    </row>
    <row r="31" spans="1:17" ht="15" x14ac:dyDescent="0.3">
      <c r="A31" s="63">
        <v>28</v>
      </c>
      <c r="B31" s="37" t="s">
        <v>97</v>
      </c>
      <c r="C31" s="5">
        <v>800</v>
      </c>
      <c r="D31" s="5">
        <v>250</v>
      </c>
      <c r="E31" s="44" t="s">
        <v>167</v>
      </c>
      <c r="F31" s="80">
        <v>12</v>
      </c>
      <c r="G31" s="80">
        <v>12</v>
      </c>
      <c r="H31" s="90"/>
      <c r="I31" s="90">
        <v>1</v>
      </c>
      <c r="J31" s="90"/>
      <c r="K31" s="90">
        <v>1</v>
      </c>
      <c r="L31" s="90"/>
      <c r="M31" s="90"/>
      <c r="N31" s="90">
        <v>2</v>
      </c>
      <c r="O31" s="90"/>
      <c r="P31" s="90">
        <v>1</v>
      </c>
      <c r="Q31" s="90">
        <f t="shared" si="0"/>
        <v>5</v>
      </c>
    </row>
    <row r="32" spans="1:17" ht="16.8" customHeight="1" x14ac:dyDescent="0.3">
      <c r="A32" s="63">
        <v>29</v>
      </c>
      <c r="B32" s="97" t="s">
        <v>274</v>
      </c>
      <c r="C32" s="5">
        <v>800</v>
      </c>
      <c r="D32" s="5">
        <v>300</v>
      </c>
      <c r="E32" s="44" t="s">
        <v>172</v>
      </c>
      <c r="F32" s="80">
        <v>12</v>
      </c>
      <c r="G32" s="80">
        <v>15</v>
      </c>
      <c r="H32" s="90"/>
      <c r="I32" s="90"/>
      <c r="J32" s="90">
        <v>1</v>
      </c>
      <c r="K32" s="90"/>
      <c r="L32" s="90"/>
      <c r="M32" s="90"/>
      <c r="N32" s="90"/>
      <c r="O32" s="90"/>
      <c r="P32" s="90"/>
      <c r="Q32" s="90">
        <f t="shared" si="0"/>
        <v>1</v>
      </c>
    </row>
    <row r="33" spans="1:17" ht="16.2" customHeight="1" x14ac:dyDescent="0.3">
      <c r="A33" s="63">
        <v>30</v>
      </c>
      <c r="B33" s="97" t="s">
        <v>273</v>
      </c>
      <c r="C33" s="5">
        <v>800</v>
      </c>
      <c r="D33" s="5">
        <v>300</v>
      </c>
      <c r="E33" s="44" t="s">
        <v>172</v>
      </c>
      <c r="F33" s="80">
        <v>12</v>
      </c>
      <c r="G33" s="80">
        <v>15</v>
      </c>
      <c r="H33" s="90"/>
      <c r="I33" s="90"/>
      <c r="J33" s="90"/>
      <c r="K33" s="90"/>
      <c r="L33" s="90"/>
      <c r="M33" s="90"/>
      <c r="N33" s="90"/>
      <c r="O33" s="90"/>
      <c r="P33" s="90"/>
      <c r="Q33" s="90">
        <f t="shared" si="0"/>
        <v>0</v>
      </c>
    </row>
    <row r="34" spans="1:17" ht="15" x14ac:dyDescent="0.3">
      <c r="A34" s="63">
        <v>31</v>
      </c>
      <c r="B34" s="37" t="s">
        <v>339</v>
      </c>
      <c r="C34" s="5">
        <v>800</v>
      </c>
      <c r="D34" s="5">
        <v>150</v>
      </c>
      <c r="E34" s="44" t="s">
        <v>172</v>
      </c>
      <c r="F34" s="80">
        <v>12</v>
      </c>
      <c r="G34" s="80">
        <v>15</v>
      </c>
      <c r="H34" s="90"/>
      <c r="I34" s="90"/>
      <c r="J34" s="90">
        <v>1</v>
      </c>
      <c r="K34" s="90"/>
      <c r="L34" s="90"/>
      <c r="M34" s="90"/>
      <c r="N34" s="90">
        <v>1</v>
      </c>
      <c r="O34" s="90"/>
      <c r="P34" s="90"/>
      <c r="Q34" s="90">
        <f t="shared" si="0"/>
        <v>2</v>
      </c>
    </row>
    <row r="35" spans="1:17" ht="15" x14ac:dyDescent="0.3">
      <c r="A35" s="63">
        <v>32</v>
      </c>
      <c r="B35" s="37" t="s">
        <v>334</v>
      </c>
      <c r="C35" s="5">
        <v>800</v>
      </c>
      <c r="D35" s="5">
        <v>550</v>
      </c>
      <c r="E35" s="44" t="s">
        <v>151</v>
      </c>
      <c r="F35" s="80">
        <v>5</v>
      </c>
      <c r="G35" s="80">
        <v>5</v>
      </c>
      <c r="H35" s="90"/>
      <c r="I35" s="90"/>
      <c r="J35" s="90"/>
      <c r="K35" s="90"/>
      <c r="L35" s="90"/>
      <c r="M35" s="90"/>
      <c r="N35" s="90"/>
      <c r="O35" s="90"/>
      <c r="P35" s="90">
        <v>1</v>
      </c>
      <c r="Q35" s="90">
        <f t="shared" si="0"/>
        <v>1</v>
      </c>
    </row>
    <row r="36" spans="1:17" ht="15" x14ac:dyDescent="0.3">
      <c r="A36" s="63">
        <v>33</v>
      </c>
      <c r="B36" s="37" t="s">
        <v>96</v>
      </c>
      <c r="C36" s="5">
        <v>800</v>
      </c>
      <c r="D36" s="5">
        <v>150</v>
      </c>
      <c r="E36" s="44" t="s">
        <v>151</v>
      </c>
      <c r="F36" s="80">
        <v>10</v>
      </c>
      <c r="G36" s="80">
        <v>5</v>
      </c>
      <c r="H36" s="90"/>
      <c r="I36" s="90"/>
      <c r="J36" s="90"/>
      <c r="K36" s="90"/>
      <c r="L36" s="90"/>
      <c r="M36" s="90"/>
      <c r="N36" s="90"/>
      <c r="O36" s="90">
        <v>1</v>
      </c>
      <c r="P36" s="90"/>
      <c r="Q36" s="90">
        <f t="shared" ref="Q36:Q66" si="1">SUM(H36:P36)</f>
        <v>1</v>
      </c>
    </row>
    <row r="37" spans="1:17" ht="15" x14ac:dyDescent="0.3">
      <c r="A37" s="63">
        <v>34</v>
      </c>
      <c r="B37" s="37" t="s">
        <v>135</v>
      </c>
      <c r="C37" s="121">
        <v>800</v>
      </c>
      <c r="D37" s="5">
        <v>350</v>
      </c>
      <c r="E37" s="44" t="s">
        <v>146</v>
      </c>
      <c r="F37" s="80">
        <v>8</v>
      </c>
      <c r="G37" s="80">
        <v>8</v>
      </c>
      <c r="H37" s="90"/>
      <c r="I37" s="90"/>
      <c r="J37" s="90"/>
      <c r="K37" s="90"/>
      <c r="L37" s="90"/>
      <c r="M37" s="90"/>
      <c r="N37" s="90"/>
      <c r="O37" s="90"/>
      <c r="P37" s="90"/>
      <c r="Q37" s="90">
        <f t="shared" si="1"/>
        <v>0</v>
      </c>
    </row>
    <row r="38" spans="1:17" ht="15" x14ac:dyDescent="0.3">
      <c r="A38" s="63">
        <v>35</v>
      </c>
      <c r="B38" s="37" t="s">
        <v>351</v>
      </c>
      <c r="C38" s="5">
        <v>800</v>
      </c>
      <c r="D38" s="5">
        <v>220</v>
      </c>
      <c r="E38" s="44" t="s">
        <v>356</v>
      </c>
      <c r="F38" s="80">
        <v>10</v>
      </c>
      <c r="G38" s="80">
        <v>10</v>
      </c>
      <c r="H38" s="90"/>
      <c r="I38" s="90"/>
      <c r="J38" s="90"/>
      <c r="K38" s="90"/>
      <c r="L38" s="90"/>
      <c r="M38" s="90"/>
      <c r="N38" s="90"/>
      <c r="O38" s="90"/>
      <c r="P38" s="90">
        <v>2</v>
      </c>
      <c r="Q38" s="90">
        <f t="shared" si="1"/>
        <v>2</v>
      </c>
    </row>
    <row r="39" spans="1:17" ht="15" x14ac:dyDescent="0.3">
      <c r="A39" s="63">
        <v>36</v>
      </c>
      <c r="B39" s="37" t="s">
        <v>438</v>
      </c>
      <c r="C39" s="135">
        <v>800</v>
      </c>
      <c r="D39" s="77">
        <v>590</v>
      </c>
      <c r="E39" s="55" t="s">
        <v>437</v>
      </c>
      <c r="F39" s="80">
        <v>10</v>
      </c>
      <c r="G39" s="80">
        <v>10</v>
      </c>
      <c r="H39" s="90"/>
      <c r="I39" s="90"/>
      <c r="J39" s="90"/>
      <c r="K39" s="90"/>
      <c r="L39" s="90"/>
      <c r="M39" s="90"/>
      <c r="N39" s="90"/>
      <c r="O39" s="90"/>
      <c r="P39" s="90"/>
      <c r="Q39" s="90">
        <f t="shared" si="1"/>
        <v>0</v>
      </c>
    </row>
    <row r="40" spans="1:17" ht="15" x14ac:dyDescent="0.3">
      <c r="A40" s="63">
        <v>37</v>
      </c>
      <c r="B40" s="37" t="s">
        <v>319</v>
      </c>
      <c r="C40" s="121">
        <v>800</v>
      </c>
      <c r="D40" s="5">
        <v>200</v>
      </c>
      <c r="E40" s="44" t="s">
        <v>316</v>
      </c>
      <c r="F40" s="80">
        <v>10</v>
      </c>
      <c r="G40" s="80">
        <v>15</v>
      </c>
      <c r="H40" s="90"/>
      <c r="I40" s="90"/>
      <c r="J40" s="90"/>
      <c r="K40" s="90"/>
      <c r="L40" s="90"/>
      <c r="M40" s="90"/>
      <c r="N40" s="90"/>
      <c r="O40" s="90"/>
      <c r="P40" s="90"/>
      <c r="Q40" s="90">
        <f t="shared" si="1"/>
        <v>0</v>
      </c>
    </row>
    <row r="41" spans="1:17" ht="15" x14ac:dyDescent="0.3">
      <c r="A41" s="63">
        <v>38</v>
      </c>
      <c r="B41" s="37" t="s">
        <v>291</v>
      </c>
      <c r="C41" s="77">
        <v>800</v>
      </c>
      <c r="D41" s="77">
        <v>225</v>
      </c>
      <c r="E41" s="55" t="s">
        <v>140</v>
      </c>
      <c r="F41" s="80">
        <v>10</v>
      </c>
      <c r="G41" s="80">
        <v>10</v>
      </c>
      <c r="H41" s="90"/>
      <c r="I41" s="90"/>
      <c r="J41" s="90"/>
      <c r="K41" s="90"/>
      <c r="L41" s="90"/>
      <c r="M41" s="90"/>
      <c r="N41" s="90"/>
      <c r="O41" s="90"/>
      <c r="P41" s="90"/>
      <c r="Q41" s="90">
        <f t="shared" si="1"/>
        <v>0</v>
      </c>
    </row>
    <row r="42" spans="1:17" ht="15" x14ac:dyDescent="0.3">
      <c r="A42" s="63">
        <v>39</v>
      </c>
      <c r="B42" s="37" t="s">
        <v>124</v>
      </c>
      <c r="C42" s="77">
        <v>800</v>
      </c>
      <c r="D42" s="77">
        <v>675</v>
      </c>
      <c r="E42" s="55" t="s">
        <v>179</v>
      </c>
      <c r="F42" s="80">
        <v>5</v>
      </c>
      <c r="G42" s="80">
        <v>5</v>
      </c>
      <c r="H42" s="90"/>
      <c r="I42" s="90"/>
      <c r="J42" s="90"/>
      <c r="K42" s="90"/>
      <c r="L42" s="90"/>
      <c r="M42" s="90"/>
      <c r="N42" s="90"/>
      <c r="O42" s="90"/>
      <c r="P42" s="90"/>
      <c r="Q42" s="90">
        <f t="shared" si="1"/>
        <v>0</v>
      </c>
    </row>
    <row r="43" spans="1:17" ht="15" x14ac:dyDescent="0.3">
      <c r="A43" s="63">
        <v>40</v>
      </c>
      <c r="B43" s="37" t="s">
        <v>178</v>
      </c>
      <c r="C43" s="5">
        <v>800</v>
      </c>
      <c r="D43" s="5">
        <v>450</v>
      </c>
      <c r="E43" s="44" t="s">
        <v>177</v>
      </c>
      <c r="F43" s="80">
        <v>8</v>
      </c>
      <c r="G43" s="80">
        <v>8</v>
      </c>
      <c r="H43" s="90"/>
      <c r="I43" s="90"/>
      <c r="J43" s="90"/>
      <c r="K43" s="90"/>
      <c r="L43" s="90"/>
      <c r="M43" s="90"/>
      <c r="N43" s="90"/>
      <c r="O43" s="90"/>
      <c r="P43" s="90"/>
      <c r="Q43" s="90">
        <f t="shared" si="1"/>
        <v>0</v>
      </c>
    </row>
    <row r="44" spans="1:17" ht="15" x14ac:dyDescent="0.3">
      <c r="A44" s="63">
        <v>41</v>
      </c>
      <c r="B44" s="49" t="s">
        <v>176</v>
      </c>
      <c r="C44" s="5">
        <v>800</v>
      </c>
      <c r="D44" s="5">
        <v>450</v>
      </c>
      <c r="E44" s="44" t="s">
        <v>177</v>
      </c>
      <c r="F44" s="80">
        <v>8</v>
      </c>
      <c r="G44" s="80">
        <v>8</v>
      </c>
      <c r="H44" s="90"/>
      <c r="I44" s="90"/>
      <c r="J44" s="90"/>
      <c r="K44" s="90"/>
      <c r="L44" s="90"/>
      <c r="M44" s="90"/>
      <c r="N44" s="90"/>
      <c r="O44" s="90"/>
      <c r="P44" s="90"/>
      <c r="Q44" s="90">
        <f t="shared" si="1"/>
        <v>0</v>
      </c>
    </row>
    <row r="45" spans="1:17" ht="15" x14ac:dyDescent="0.3">
      <c r="A45" s="63">
        <v>42</v>
      </c>
      <c r="B45" s="37" t="s">
        <v>477</v>
      </c>
      <c r="C45" s="77">
        <v>800</v>
      </c>
      <c r="D45" s="77">
        <v>360</v>
      </c>
      <c r="E45" s="55" t="s">
        <v>315</v>
      </c>
      <c r="F45" s="80">
        <v>8</v>
      </c>
      <c r="G45" s="80">
        <v>10</v>
      </c>
      <c r="H45" s="90"/>
      <c r="I45" s="90"/>
      <c r="J45" s="90">
        <v>1</v>
      </c>
      <c r="K45" s="90"/>
      <c r="L45" s="90"/>
      <c r="M45" s="90"/>
      <c r="N45" s="90"/>
      <c r="O45" s="90"/>
      <c r="P45" s="90"/>
      <c r="Q45" s="90">
        <f t="shared" si="1"/>
        <v>1</v>
      </c>
    </row>
    <row r="46" spans="1:17" ht="15" x14ac:dyDescent="0.3">
      <c r="A46" s="63">
        <v>43</v>
      </c>
      <c r="B46" s="37" t="s">
        <v>317</v>
      </c>
      <c r="C46" s="77">
        <v>800</v>
      </c>
      <c r="D46" s="77">
        <v>400</v>
      </c>
      <c r="E46" s="55" t="s">
        <v>315</v>
      </c>
      <c r="F46" s="80">
        <v>8</v>
      </c>
      <c r="G46" s="80">
        <v>10</v>
      </c>
      <c r="H46" s="90"/>
      <c r="I46" s="90">
        <v>1</v>
      </c>
      <c r="J46" s="90"/>
      <c r="K46" s="90">
        <v>1</v>
      </c>
      <c r="L46" s="90"/>
      <c r="M46" s="90"/>
      <c r="N46" s="90">
        <v>1</v>
      </c>
      <c r="O46" s="90"/>
      <c r="P46" s="90"/>
      <c r="Q46" s="90">
        <f t="shared" si="1"/>
        <v>3</v>
      </c>
    </row>
    <row r="47" spans="1:17" ht="15" x14ac:dyDescent="0.3">
      <c r="A47" s="63">
        <v>44</v>
      </c>
      <c r="B47" s="37" t="s">
        <v>318</v>
      </c>
      <c r="C47" s="77">
        <v>800</v>
      </c>
      <c r="D47" s="77">
        <v>400</v>
      </c>
      <c r="E47" s="55" t="s">
        <v>315</v>
      </c>
      <c r="F47" s="80">
        <v>8</v>
      </c>
      <c r="G47" s="80">
        <v>10</v>
      </c>
      <c r="H47" s="90"/>
      <c r="I47" s="90">
        <v>1</v>
      </c>
      <c r="J47" s="90"/>
      <c r="K47" s="90"/>
      <c r="L47" s="90"/>
      <c r="M47" s="90"/>
      <c r="N47" s="90">
        <v>1</v>
      </c>
      <c r="O47" s="90">
        <v>2</v>
      </c>
      <c r="P47" s="90"/>
      <c r="Q47" s="90">
        <f t="shared" si="1"/>
        <v>4</v>
      </c>
    </row>
    <row r="48" spans="1:17" ht="15" x14ac:dyDescent="0.3">
      <c r="A48" s="63">
        <v>45</v>
      </c>
      <c r="B48" s="37" t="s">
        <v>335</v>
      </c>
      <c r="C48" s="77">
        <v>800</v>
      </c>
      <c r="D48" s="77">
        <v>650</v>
      </c>
      <c r="E48" s="55" t="s">
        <v>191</v>
      </c>
      <c r="F48" s="80">
        <v>8</v>
      </c>
      <c r="G48" s="80">
        <v>8</v>
      </c>
      <c r="H48" s="90"/>
      <c r="I48" s="90"/>
      <c r="J48" s="90"/>
      <c r="K48" s="90"/>
      <c r="L48" s="90"/>
      <c r="M48" s="90"/>
      <c r="N48" s="90"/>
      <c r="O48" s="90"/>
      <c r="P48" s="90"/>
      <c r="Q48" s="90">
        <f t="shared" si="1"/>
        <v>0</v>
      </c>
    </row>
    <row r="49" spans="1:17" ht="15" x14ac:dyDescent="0.3">
      <c r="A49" s="63">
        <v>46</v>
      </c>
      <c r="B49" s="37" t="s">
        <v>354</v>
      </c>
      <c r="C49" s="77">
        <v>800</v>
      </c>
      <c r="D49" s="77">
        <v>300</v>
      </c>
      <c r="E49" s="55" t="s">
        <v>191</v>
      </c>
      <c r="F49" s="80">
        <v>10</v>
      </c>
      <c r="G49" s="80">
        <v>12</v>
      </c>
      <c r="H49" s="90"/>
      <c r="I49" s="90"/>
      <c r="J49" s="90"/>
      <c r="K49" s="90"/>
      <c r="L49" s="90"/>
      <c r="M49" s="90"/>
      <c r="N49" s="90"/>
      <c r="O49" s="90">
        <v>2</v>
      </c>
      <c r="P49" s="90"/>
      <c r="Q49" s="90">
        <f t="shared" si="1"/>
        <v>2</v>
      </c>
    </row>
    <row r="50" spans="1:17" ht="15" x14ac:dyDescent="0.3">
      <c r="A50" s="63">
        <v>47</v>
      </c>
      <c r="B50" s="37" t="s">
        <v>355</v>
      </c>
      <c r="C50" s="77">
        <v>800</v>
      </c>
      <c r="D50" s="77">
        <v>225</v>
      </c>
      <c r="E50" s="55" t="s">
        <v>191</v>
      </c>
      <c r="F50" s="80">
        <v>6</v>
      </c>
      <c r="G50" s="80">
        <v>10</v>
      </c>
      <c r="H50" s="90"/>
      <c r="I50" s="90"/>
      <c r="J50" s="90"/>
      <c r="K50" s="90"/>
      <c r="L50" s="90"/>
      <c r="M50" s="90"/>
      <c r="N50" s="90"/>
      <c r="O50" s="90"/>
      <c r="P50" s="90">
        <v>1</v>
      </c>
      <c r="Q50" s="90">
        <f t="shared" si="1"/>
        <v>1</v>
      </c>
    </row>
    <row r="51" spans="1:17" ht="15" x14ac:dyDescent="0.3">
      <c r="A51" s="63">
        <v>48</v>
      </c>
      <c r="B51" s="37" t="s">
        <v>263</v>
      </c>
      <c r="C51" s="77">
        <v>800</v>
      </c>
      <c r="D51" s="77">
        <v>250</v>
      </c>
      <c r="E51" s="55" t="s">
        <v>138</v>
      </c>
      <c r="F51" s="80">
        <v>12</v>
      </c>
      <c r="G51" s="80">
        <v>6</v>
      </c>
      <c r="H51" s="90"/>
      <c r="I51" s="90"/>
      <c r="J51" s="90"/>
      <c r="K51" s="90"/>
      <c r="L51" s="90"/>
      <c r="M51" s="90"/>
      <c r="N51" s="90"/>
      <c r="O51" s="90"/>
      <c r="P51" s="90"/>
      <c r="Q51" s="90">
        <f t="shared" si="1"/>
        <v>0</v>
      </c>
    </row>
    <row r="52" spans="1:17" ht="15" x14ac:dyDescent="0.3">
      <c r="A52" s="63">
        <v>49</v>
      </c>
      <c r="B52" s="37" t="s">
        <v>336</v>
      </c>
      <c r="C52" s="77">
        <v>800</v>
      </c>
      <c r="D52" s="77">
        <v>220</v>
      </c>
      <c r="E52" s="55" t="s">
        <v>150</v>
      </c>
      <c r="F52" s="80">
        <v>15</v>
      </c>
      <c r="G52" s="80">
        <v>15</v>
      </c>
      <c r="H52" s="90"/>
      <c r="I52" s="90"/>
      <c r="J52" s="90"/>
      <c r="K52" s="90">
        <v>1</v>
      </c>
      <c r="L52" s="90"/>
      <c r="M52" s="90"/>
      <c r="N52" s="90"/>
      <c r="O52" s="90"/>
      <c r="P52" s="90"/>
      <c r="Q52" s="90">
        <f t="shared" si="1"/>
        <v>1</v>
      </c>
    </row>
    <row r="53" spans="1:17" s="82" customFormat="1" ht="15" x14ac:dyDescent="0.3">
      <c r="A53" s="63">
        <v>50</v>
      </c>
      <c r="B53" s="37" t="s">
        <v>337</v>
      </c>
      <c r="C53" s="119" t="s">
        <v>313</v>
      </c>
      <c r="D53" s="77">
        <v>200</v>
      </c>
      <c r="E53" s="55" t="s">
        <v>168</v>
      </c>
      <c r="F53" s="80">
        <v>15</v>
      </c>
      <c r="G53" s="80">
        <v>8</v>
      </c>
      <c r="H53" s="90">
        <v>1</v>
      </c>
      <c r="I53" s="90"/>
      <c r="J53" s="90"/>
      <c r="K53" s="90">
        <v>1</v>
      </c>
      <c r="L53" s="90">
        <v>1</v>
      </c>
      <c r="M53" s="90"/>
      <c r="N53" s="90"/>
      <c r="O53" s="90"/>
      <c r="P53" s="90">
        <v>2</v>
      </c>
      <c r="Q53" s="90">
        <f t="shared" si="1"/>
        <v>5</v>
      </c>
    </row>
    <row r="54" spans="1:17" s="82" customFormat="1" ht="15" x14ac:dyDescent="0.3">
      <c r="A54" s="63">
        <v>51</v>
      </c>
      <c r="B54" s="37" t="s">
        <v>338</v>
      </c>
      <c r="C54" s="119" t="s">
        <v>313</v>
      </c>
      <c r="D54" s="77">
        <v>250</v>
      </c>
      <c r="E54" s="55" t="s">
        <v>168</v>
      </c>
      <c r="F54" s="80">
        <v>15</v>
      </c>
      <c r="G54" s="80">
        <v>8</v>
      </c>
      <c r="H54" s="90"/>
      <c r="I54" s="90"/>
      <c r="J54" s="90"/>
      <c r="K54" s="90"/>
      <c r="L54" s="90">
        <v>1</v>
      </c>
      <c r="M54" s="90"/>
      <c r="N54" s="90"/>
      <c r="O54" s="90"/>
      <c r="P54" s="90"/>
      <c r="Q54" s="90">
        <f t="shared" si="1"/>
        <v>1</v>
      </c>
    </row>
    <row r="55" spans="1:17" s="82" customFormat="1" ht="15" x14ac:dyDescent="0.3">
      <c r="A55" s="63">
        <v>52</v>
      </c>
      <c r="B55" s="37" t="s">
        <v>387</v>
      </c>
      <c r="C55" s="77">
        <v>800</v>
      </c>
      <c r="D55" s="77">
        <v>350</v>
      </c>
      <c r="E55" s="55" t="s">
        <v>359</v>
      </c>
      <c r="F55" s="80">
        <v>10</v>
      </c>
      <c r="G55" s="80">
        <v>10</v>
      </c>
      <c r="H55" s="90">
        <v>1</v>
      </c>
      <c r="I55" s="90"/>
      <c r="J55" s="90"/>
      <c r="K55" s="90"/>
      <c r="L55" s="90"/>
      <c r="M55" s="90"/>
      <c r="N55" s="90"/>
      <c r="O55" s="90"/>
      <c r="P55" s="90"/>
      <c r="Q55" s="90">
        <f t="shared" si="1"/>
        <v>1</v>
      </c>
    </row>
    <row r="56" spans="1:17" s="82" customFormat="1" ht="15" x14ac:dyDescent="0.3">
      <c r="A56" s="63">
        <v>53</v>
      </c>
      <c r="B56" s="37" t="s">
        <v>388</v>
      </c>
      <c r="C56" s="77">
        <v>800</v>
      </c>
      <c r="D56" s="77">
        <v>350</v>
      </c>
      <c r="E56" s="55" t="s">
        <v>359</v>
      </c>
      <c r="F56" s="80">
        <v>10</v>
      </c>
      <c r="G56" s="80">
        <v>10</v>
      </c>
      <c r="H56" s="90"/>
      <c r="I56" s="90"/>
      <c r="J56" s="90"/>
      <c r="K56" s="90"/>
      <c r="L56" s="90"/>
      <c r="M56" s="90"/>
      <c r="N56" s="90"/>
      <c r="O56" s="90">
        <v>2</v>
      </c>
      <c r="P56" s="90"/>
      <c r="Q56" s="90">
        <f t="shared" si="1"/>
        <v>2</v>
      </c>
    </row>
    <row r="57" spans="1:17" s="82" customFormat="1" ht="15" x14ac:dyDescent="0.3">
      <c r="A57" s="63">
        <v>54</v>
      </c>
      <c r="B57" s="37" t="s">
        <v>432</v>
      </c>
      <c r="C57" s="77">
        <v>800</v>
      </c>
      <c r="D57" s="77">
        <v>350</v>
      </c>
      <c r="E57" s="55" t="s">
        <v>433</v>
      </c>
      <c r="F57" s="80">
        <v>10</v>
      </c>
      <c r="G57" s="80">
        <v>10</v>
      </c>
      <c r="H57" s="90"/>
      <c r="I57" s="90"/>
      <c r="J57" s="90"/>
      <c r="K57" s="90"/>
      <c r="L57" s="90"/>
      <c r="M57" s="90"/>
      <c r="N57" s="90"/>
      <c r="O57" s="90"/>
      <c r="P57" s="90"/>
      <c r="Q57" s="90">
        <f t="shared" si="1"/>
        <v>0</v>
      </c>
    </row>
    <row r="58" spans="1:17" s="82" customFormat="1" ht="15" x14ac:dyDescent="0.3">
      <c r="A58" s="63">
        <v>55</v>
      </c>
      <c r="B58" s="37" t="s">
        <v>194</v>
      </c>
      <c r="C58" s="77">
        <v>800</v>
      </c>
      <c r="D58" s="77">
        <v>150</v>
      </c>
      <c r="E58" s="102" t="s">
        <v>195</v>
      </c>
      <c r="F58" s="80">
        <v>10</v>
      </c>
      <c r="G58" s="80">
        <v>10</v>
      </c>
      <c r="H58" s="90"/>
      <c r="I58" s="90"/>
      <c r="J58" s="90">
        <v>1</v>
      </c>
      <c r="K58" s="90"/>
      <c r="L58" s="90"/>
      <c r="M58" s="90"/>
      <c r="N58" s="90"/>
      <c r="O58" s="90"/>
      <c r="P58" s="90"/>
      <c r="Q58" s="90">
        <f t="shared" si="1"/>
        <v>1</v>
      </c>
    </row>
    <row r="59" spans="1:17" s="82" customFormat="1" ht="15" x14ac:dyDescent="0.3">
      <c r="A59" s="63">
        <v>56</v>
      </c>
      <c r="B59" s="37" t="s">
        <v>382</v>
      </c>
      <c r="C59" s="77">
        <v>800</v>
      </c>
      <c r="D59" s="77">
        <v>300</v>
      </c>
      <c r="E59" s="102" t="s">
        <v>195</v>
      </c>
      <c r="F59" s="80">
        <v>10</v>
      </c>
      <c r="G59" s="80">
        <v>10</v>
      </c>
      <c r="H59" s="90"/>
      <c r="I59" s="90">
        <v>1</v>
      </c>
      <c r="J59" s="90"/>
      <c r="K59" s="90"/>
      <c r="L59" s="90"/>
      <c r="M59" s="90"/>
      <c r="N59" s="90"/>
      <c r="O59" s="90">
        <v>1</v>
      </c>
      <c r="P59" s="90"/>
      <c r="Q59" s="90">
        <f t="shared" si="1"/>
        <v>2</v>
      </c>
    </row>
    <row r="60" spans="1:17" s="82" customFormat="1" ht="15" x14ac:dyDescent="0.3">
      <c r="A60" s="63">
        <v>57</v>
      </c>
      <c r="B60" s="37" t="s">
        <v>181</v>
      </c>
      <c r="C60" s="77">
        <v>800</v>
      </c>
      <c r="D60" s="77">
        <v>325</v>
      </c>
      <c r="E60" s="55" t="s">
        <v>155</v>
      </c>
      <c r="F60" s="80">
        <v>20</v>
      </c>
      <c r="G60" s="80">
        <v>15</v>
      </c>
      <c r="H60" s="90"/>
      <c r="I60" s="90"/>
      <c r="J60" s="90"/>
      <c r="K60" s="90">
        <v>1</v>
      </c>
      <c r="L60" s="90"/>
      <c r="M60" s="90"/>
      <c r="N60" s="90"/>
      <c r="O60" s="90">
        <v>2</v>
      </c>
      <c r="P60" s="90"/>
      <c r="Q60" s="90">
        <f t="shared" si="1"/>
        <v>3</v>
      </c>
    </row>
    <row r="61" spans="1:17" s="82" customFormat="1" ht="15" x14ac:dyDescent="0.3">
      <c r="A61" s="63">
        <v>58</v>
      </c>
      <c r="B61" s="37" t="s">
        <v>400</v>
      </c>
      <c r="C61" s="77">
        <v>800</v>
      </c>
      <c r="D61" s="77">
        <v>350</v>
      </c>
      <c r="E61" s="55" t="s">
        <v>390</v>
      </c>
      <c r="F61" s="80">
        <v>10</v>
      </c>
      <c r="G61" s="80">
        <v>12</v>
      </c>
      <c r="H61" s="90"/>
      <c r="I61" s="90"/>
      <c r="J61" s="90"/>
      <c r="K61" s="90">
        <v>1</v>
      </c>
      <c r="L61" s="90"/>
      <c r="M61" s="90"/>
      <c r="N61" s="90"/>
      <c r="O61" s="90"/>
      <c r="P61" s="90"/>
      <c r="Q61" s="90">
        <f t="shared" si="1"/>
        <v>1</v>
      </c>
    </row>
    <row r="62" spans="1:17" s="82" customFormat="1" ht="15" x14ac:dyDescent="0.3">
      <c r="A62" s="63">
        <v>59</v>
      </c>
      <c r="B62" s="37" t="s">
        <v>418</v>
      </c>
      <c r="C62" s="77">
        <v>800</v>
      </c>
      <c r="D62" s="77">
        <v>400</v>
      </c>
      <c r="E62" s="55" t="s">
        <v>390</v>
      </c>
      <c r="F62" s="80">
        <v>10</v>
      </c>
      <c r="G62" s="80">
        <v>10</v>
      </c>
      <c r="H62" s="90"/>
      <c r="I62" s="90"/>
      <c r="J62" s="90"/>
      <c r="K62" s="90"/>
      <c r="L62" s="90"/>
      <c r="M62" s="90"/>
      <c r="N62" s="90"/>
      <c r="O62" s="90"/>
      <c r="P62" s="90"/>
      <c r="Q62" s="90">
        <f t="shared" si="1"/>
        <v>0</v>
      </c>
    </row>
    <row r="63" spans="1:17" s="82" customFormat="1" ht="15" x14ac:dyDescent="0.3">
      <c r="A63" s="63">
        <v>60</v>
      </c>
      <c r="B63" s="37" t="s">
        <v>402</v>
      </c>
      <c r="C63" s="77">
        <v>800</v>
      </c>
      <c r="D63" s="77">
        <v>350</v>
      </c>
      <c r="E63" s="55" t="s">
        <v>390</v>
      </c>
      <c r="F63" s="80">
        <v>10</v>
      </c>
      <c r="G63" s="80">
        <v>12</v>
      </c>
      <c r="H63" s="90"/>
      <c r="I63" s="90"/>
      <c r="J63" s="90"/>
      <c r="K63" s="90"/>
      <c r="L63" s="90">
        <v>1</v>
      </c>
      <c r="M63" s="90"/>
      <c r="N63" s="90"/>
      <c r="O63" s="90"/>
      <c r="P63" s="90"/>
      <c r="Q63" s="90">
        <f t="shared" si="1"/>
        <v>1</v>
      </c>
    </row>
    <row r="64" spans="1:17" s="82" customFormat="1" ht="15" x14ac:dyDescent="0.3">
      <c r="A64" s="63">
        <v>61</v>
      </c>
      <c r="B64" s="37" t="s">
        <v>403</v>
      </c>
      <c r="C64" s="77">
        <v>800</v>
      </c>
      <c r="D64" s="77">
        <v>400</v>
      </c>
      <c r="E64" s="55" t="s">
        <v>390</v>
      </c>
      <c r="F64" s="80">
        <v>10</v>
      </c>
      <c r="G64" s="80">
        <v>6</v>
      </c>
      <c r="H64" s="90"/>
      <c r="I64" s="90"/>
      <c r="J64" s="90"/>
      <c r="K64" s="90"/>
      <c r="L64" s="90"/>
      <c r="M64" s="90"/>
      <c r="N64" s="90"/>
      <c r="O64" s="90"/>
      <c r="P64" s="90"/>
      <c r="Q64" s="90">
        <f t="shared" si="1"/>
        <v>0</v>
      </c>
    </row>
    <row r="65" spans="1:17" s="82" customFormat="1" ht="15" x14ac:dyDescent="0.3">
      <c r="A65" s="63">
        <v>62</v>
      </c>
      <c r="B65" s="37" t="s">
        <v>416</v>
      </c>
      <c r="C65" s="135" t="s">
        <v>313</v>
      </c>
      <c r="D65" s="77"/>
      <c r="E65" s="55" t="s">
        <v>415</v>
      </c>
      <c r="F65" s="80">
        <v>15</v>
      </c>
      <c r="G65" s="80">
        <v>15</v>
      </c>
      <c r="H65" s="90"/>
      <c r="I65" s="90"/>
      <c r="J65" s="90"/>
      <c r="K65" s="90"/>
      <c r="L65" s="90"/>
      <c r="M65" s="90"/>
      <c r="N65" s="90"/>
      <c r="O65" s="90"/>
      <c r="P65" s="90"/>
      <c r="Q65" s="90">
        <f t="shared" si="1"/>
        <v>0</v>
      </c>
    </row>
    <row r="66" spans="1:17" s="82" customFormat="1" ht="15" x14ac:dyDescent="0.3">
      <c r="A66" s="63">
        <v>63</v>
      </c>
      <c r="B66" s="37" t="s">
        <v>261</v>
      </c>
      <c r="C66" s="135">
        <v>800</v>
      </c>
      <c r="D66" s="77">
        <v>350</v>
      </c>
      <c r="E66" s="55" t="s">
        <v>174</v>
      </c>
      <c r="F66" s="80">
        <v>10</v>
      </c>
      <c r="G66" s="80">
        <v>4</v>
      </c>
      <c r="H66" s="90"/>
      <c r="I66" s="90"/>
      <c r="J66" s="90"/>
      <c r="K66" s="90"/>
      <c r="L66" s="90"/>
      <c r="M66" s="90"/>
      <c r="N66" s="90"/>
      <c r="O66" s="90"/>
      <c r="P66" s="90"/>
      <c r="Q66" s="90">
        <f t="shared" si="1"/>
        <v>0</v>
      </c>
    </row>
    <row r="67" spans="1:17" s="82" customFormat="1" ht="18" customHeight="1" x14ac:dyDescent="0.3">
      <c r="A67" s="63">
        <v>64</v>
      </c>
      <c r="B67" s="97" t="s">
        <v>450</v>
      </c>
      <c r="C67" s="135">
        <v>800</v>
      </c>
      <c r="D67" s="77">
        <v>650</v>
      </c>
      <c r="E67" s="102" t="s">
        <v>196</v>
      </c>
      <c r="F67" s="80">
        <v>10</v>
      </c>
      <c r="G67" s="80">
        <v>10</v>
      </c>
      <c r="H67" s="90"/>
      <c r="I67" s="90"/>
      <c r="J67" s="90"/>
      <c r="K67" s="90"/>
      <c r="L67" s="90"/>
      <c r="M67" s="90"/>
      <c r="N67" s="90"/>
      <c r="O67" s="90"/>
      <c r="P67" s="90"/>
      <c r="Q67" s="90">
        <f t="shared" ref="Q67:Q83" si="2">SUM(H67:P67)</f>
        <v>0</v>
      </c>
    </row>
    <row r="68" spans="1:17" s="82" customFormat="1" ht="15" x14ac:dyDescent="0.3">
      <c r="A68" s="63">
        <v>65</v>
      </c>
      <c r="B68" s="37" t="s">
        <v>243</v>
      </c>
      <c r="C68" s="135">
        <v>800</v>
      </c>
      <c r="D68" s="77">
        <v>250</v>
      </c>
      <c r="E68" s="102" t="s">
        <v>570</v>
      </c>
      <c r="F68" s="80">
        <v>10</v>
      </c>
      <c r="G68" s="80">
        <v>10</v>
      </c>
      <c r="H68" s="90"/>
      <c r="I68" s="90"/>
      <c r="J68" s="90"/>
      <c r="K68" s="90"/>
      <c r="L68" s="90"/>
      <c r="M68" s="90"/>
      <c r="N68" s="90"/>
      <c r="O68" s="90"/>
      <c r="P68" s="90"/>
      <c r="Q68" s="90">
        <f t="shared" si="2"/>
        <v>0</v>
      </c>
    </row>
    <row r="69" spans="1:17" s="82" customFormat="1" ht="18" customHeight="1" x14ac:dyDescent="0.3">
      <c r="A69" s="63">
        <v>66</v>
      </c>
      <c r="B69" s="97" t="s">
        <v>451</v>
      </c>
      <c r="C69" s="135">
        <v>800</v>
      </c>
      <c r="D69" s="77">
        <v>1000</v>
      </c>
      <c r="E69" s="102" t="s">
        <v>570</v>
      </c>
      <c r="F69" s="80">
        <v>10</v>
      </c>
      <c r="G69" s="80">
        <v>10</v>
      </c>
      <c r="H69" s="90"/>
      <c r="I69" s="90"/>
      <c r="J69" s="90"/>
      <c r="K69" s="90"/>
      <c r="L69" s="90"/>
      <c r="M69" s="90"/>
      <c r="N69" s="90"/>
      <c r="O69" s="90"/>
      <c r="P69" s="90"/>
      <c r="Q69" s="90">
        <f t="shared" si="2"/>
        <v>0</v>
      </c>
    </row>
    <row r="70" spans="1:17" s="82" customFormat="1" ht="15" x14ac:dyDescent="0.3">
      <c r="A70" s="63">
        <v>67</v>
      </c>
      <c r="B70" s="37" t="s">
        <v>420</v>
      </c>
      <c r="C70" s="135">
        <v>800</v>
      </c>
      <c r="D70" s="77">
        <v>300</v>
      </c>
      <c r="E70" s="55" t="s">
        <v>419</v>
      </c>
      <c r="F70" s="80">
        <v>10</v>
      </c>
      <c r="G70" s="80">
        <v>10</v>
      </c>
      <c r="H70" s="90"/>
      <c r="I70" s="90"/>
      <c r="J70" s="90"/>
      <c r="K70" s="90"/>
      <c r="L70" s="90"/>
      <c r="M70" s="90"/>
      <c r="N70" s="90"/>
      <c r="O70" s="90"/>
      <c r="P70" s="90"/>
      <c r="Q70" s="90">
        <f t="shared" si="2"/>
        <v>0</v>
      </c>
    </row>
    <row r="71" spans="1:17" s="82" customFormat="1" ht="15" x14ac:dyDescent="0.3">
      <c r="A71" s="63">
        <v>68</v>
      </c>
      <c r="B71" s="37" t="s">
        <v>428</v>
      </c>
      <c r="C71" s="135">
        <v>800</v>
      </c>
      <c r="D71" s="77">
        <v>600</v>
      </c>
      <c r="E71" s="55" t="s">
        <v>419</v>
      </c>
      <c r="F71" s="80">
        <v>10</v>
      </c>
      <c r="G71" s="80">
        <v>10</v>
      </c>
      <c r="H71" s="90"/>
      <c r="I71" s="90"/>
      <c r="J71" s="90"/>
      <c r="K71" s="90"/>
      <c r="L71" s="90"/>
      <c r="M71" s="90"/>
      <c r="N71" s="90"/>
      <c r="O71" s="90"/>
      <c r="P71" s="90"/>
      <c r="Q71" s="90">
        <f t="shared" si="2"/>
        <v>0</v>
      </c>
    </row>
    <row r="72" spans="1:17" s="82" customFormat="1" ht="15" x14ac:dyDescent="0.3">
      <c r="A72" s="63">
        <v>69</v>
      </c>
      <c r="B72" s="37" t="s">
        <v>429</v>
      </c>
      <c r="C72" s="135">
        <v>800</v>
      </c>
      <c r="D72" s="77">
        <v>200</v>
      </c>
      <c r="E72" s="55" t="s">
        <v>419</v>
      </c>
      <c r="F72" s="80">
        <v>10</v>
      </c>
      <c r="G72" s="80">
        <v>10</v>
      </c>
      <c r="H72" s="90"/>
      <c r="I72" s="90"/>
      <c r="J72" s="90"/>
      <c r="K72" s="90"/>
      <c r="L72" s="90"/>
      <c r="M72" s="90"/>
      <c r="N72" s="90"/>
      <c r="O72" s="90"/>
      <c r="P72" s="90"/>
      <c r="Q72" s="90">
        <f t="shared" si="2"/>
        <v>0</v>
      </c>
    </row>
    <row r="73" spans="1:17" s="82" customFormat="1" ht="15" x14ac:dyDescent="0.3">
      <c r="A73" s="63">
        <v>70</v>
      </c>
      <c r="B73" s="37" t="s">
        <v>394</v>
      </c>
      <c r="C73" s="135">
        <v>800</v>
      </c>
      <c r="D73" s="77">
        <v>800</v>
      </c>
      <c r="E73" s="55" t="s">
        <v>360</v>
      </c>
      <c r="F73" s="80">
        <v>10</v>
      </c>
      <c r="G73" s="80">
        <v>3</v>
      </c>
      <c r="H73" s="90"/>
      <c r="I73" s="90"/>
      <c r="J73" s="90"/>
      <c r="K73" s="90"/>
      <c r="L73" s="90"/>
      <c r="M73" s="90"/>
      <c r="N73" s="90"/>
      <c r="O73" s="90"/>
      <c r="P73" s="90"/>
      <c r="Q73" s="90">
        <f t="shared" si="2"/>
        <v>0</v>
      </c>
    </row>
    <row r="74" spans="1:17" s="82" customFormat="1" ht="15" x14ac:dyDescent="0.3">
      <c r="A74" s="63">
        <v>71</v>
      </c>
      <c r="B74" s="37" t="s">
        <v>292</v>
      </c>
      <c r="C74" s="77">
        <v>800</v>
      </c>
      <c r="D74" s="77">
        <v>450</v>
      </c>
      <c r="E74" s="55" t="s">
        <v>165</v>
      </c>
      <c r="F74" s="80">
        <v>10</v>
      </c>
      <c r="G74" s="80">
        <v>8</v>
      </c>
      <c r="H74" s="90"/>
      <c r="I74" s="90"/>
      <c r="J74" s="90"/>
      <c r="K74" s="90"/>
      <c r="L74" s="90"/>
      <c r="M74" s="90"/>
      <c r="N74" s="90"/>
      <c r="O74" s="90"/>
      <c r="P74" s="90"/>
      <c r="Q74" s="90">
        <f t="shared" si="2"/>
        <v>0</v>
      </c>
    </row>
    <row r="75" spans="1:17" s="82" customFormat="1" ht="15" x14ac:dyDescent="0.3">
      <c r="A75" s="63">
        <v>72</v>
      </c>
      <c r="B75" s="37" t="s">
        <v>232</v>
      </c>
      <c r="C75" s="77">
        <v>800</v>
      </c>
      <c r="D75" s="77">
        <v>300</v>
      </c>
      <c r="E75" s="102" t="s">
        <v>287</v>
      </c>
      <c r="F75" s="80">
        <v>10</v>
      </c>
      <c r="G75" s="80">
        <v>10</v>
      </c>
      <c r="H75" s="90"/>
      <c r="I75" s="90"/>
      <c r="J75" s="90"/>
      <c r="K75" s="90"/>
      <c r="L75" s="90"/>
      <c r="M75" s="90">
        <v>1</v>
      </c>
      <c r="N75" s="90">
        <v>2</v>
      </c>
      <c r="O75" s="90"/>
      <c r="P75" s="90">
        <v>1</v>
      </c>
      <c r="Q75" s="90">
        <f t="shared" si="2"/>
        <v>4</v>
      </c>
    </row>
    <row r="76" spans="1:17" s="82" customFormat="1" ht="15" x14ac:dyDescent="0.3">
      <c r="A76" s="63">
        <v>73</v>
      </c>
      <c r="B76" s="37" t="s">
        <v>268</v>
      </c>
      <c r="C76" s="5">
        <v>800</v>
      </c>
      <c r="D76" s="5">
        <v>363</v>
      </c>
      <c r="E76" s="106" t="s">
        <v>267</v>
      </c>
      <c r="F76" s="80">
        <v>8</v>
      </c>
      <c r="G76" s="80">
        <v>10</v>
      </c>
      <c r="H76" s="90"/>
      <c r="I76" s="90">
        <v>1</v>
      </c>
      <c r="J76" s="90"/>
      <c r="K76" s="90"/>
      <c r="L76" s="90"/>
      <c r="M76" s="90"/>
      <c r="N76" s="90"/>
      <c r="O76" s="90"/>
      <c r="P76" s="90"/>
      <c r="Q76" s="90">
        <f t="shared" si="2"/>
        <v>1</v>
      </c>
    </row>
    <row r="77" spans="1:17" s="82" customFormat="1" ht="15" x14ac:dyDescent="0.3">
      <c r="A77" s="63">
        <v>74</v>
      </c>
      <c r="B77" s="37" t="s">
        <v>440</v>
      </c>
      <c r="C77" s="5">
        <v>800</v>
      </c>
      <c r="D77" s="5">
        <v>500</v>
      </c>
      <c r="E77" s="106" t="s">
        <v>267</v>
      </c>
      <c r="F77" s="80">
        <v>8</v>
      </c>
      <c r="G77" s="80">
        <v>10</v>
      </c>
      <c r="H77" s="90"/>
      <c r="I77" s="90"/>
      <c r="J77" s="90"/>
      <c r="K77" s="90"/>
      <c r="L77" s="90"/>
      <c r="M77" s="90"/>
      <c r="N77" s="90"/>
      <c r="O77" s="90"/>
      <c r="P77" s="90"/>
      <c r="Q77" s="90">
        <f t="shared" si="2"/>
        <v>0</v>
      </c>
    </row>
    <row r="78" spans="1:17" s="82" customFormat="1" ht="15" x14ac:dyDescent="0.3">
      <c r="A78" s="63">
        <v>75</v>
      </c>
      <c r="B78" s="37" t="s">
        <v>288</v>
      </c>
      <c r="C78" s="108">
        <v>800</v>
      </c>
      <c r="D78" s="5">
        <v>500</v>
      </c>
      <c r="E78" s="106" t="s">
        <v>267</v>
      </c>
      <c r="F78" s="80">
        <v>8</v>
      </c>
      <c r="G78" s="110">
        <v>10</v>
      </c>
      <c r="H78" s="90"/>
      <c r="I78" s="90"/>
      <c r="J78" s="90"/>
      <c r="K78" s="90">
        <v>2</v>
      </c>
      <c r="L78" s="90"/>
      <c r="M78" s="90"/>
      <c r="N78" s="90"/>
      <c r="O78" s="90"/>
      <c r="P78" s="90"/>
      <c r="Q78" s="90">
        <f t="shared" si="2"/>
        <v>2</v>
      </c>
    </row>
    <row r="79" spans="1:17" s="82" customFormat="1" ht="15" x14ac:dyDescent="0.3">
      <c r="A79" s="63">
        <v>76</v>
      </c>
      <c r="B79" s="107" t="s">
        <v>466</v>
      </c>
      <c r="C79" s="108">
        <v>800</v>
      </c>
      <c r="D79" s="77">
        <v>260</v>
      </c>
      <c r="E79" s="102" t="s">
        <v>467</v>
      </c>
      <c r="F79" s="80">
        <v>10</v>
      </c>
      <c r="G79" s="116">
        <v>10</v>
      </c>
      <c r="H79" s="109"/>
      <c r="I79" s="90">
        <v>1</v>
      </c>
      <c r="J79" s="90"/>
      <c r="K79" s="90">
        <v>1</v>
      </c>
      <c r="L79" s="90">
        <v>1</v>
      </c>
      <c r="M79" s="90"/>
      <c r="N79" s="90">
        <v>1</v>
      </c>
      <c r="O79" s="90">
        <v>1</v>
      </c>
      <c r="P79" s="90"/>
      <c r="Q79" s="90">
        <f t="shared" si="2"/>
        <v>5</v>
      </c>
    </row>
    <row r="80" spans="1:17" s="82" customFormat="1" ht="15" x14ac:dyDescent="0.3">
      <c r="A80" s="63">
        <v>77</v>
      </c>
      <c r="B80" s="107" t="s">
        <v>290</v>
      </c>
      <c r="C80" s="108">
        <v>800</v>
      </c>
      <c r="D80" s="127">
        <v>549</v>
      </c>
      <c r="E80" s="128" t="s">
        <v>583</v>
      </c>
      <c r="F80" s="110">
        <v>10</v>
      </c>
      <c r="G80" s="114">
        <v>10</v>
      </c>
      <c r="H80" s="109"/>
      <c r="I80" s="90"/>
      <c r="J80" s="90">
        <v>1</v>
      </c>
      <c r="K80" s="90"/>
      <c r="L80" s="90"/>
      <c r="M80" s="90"/>
      <c r="N80" s="90"/>
      <c r="O80" s="90">
        <v>2</v>
      </c>
      <c r="P80" s="90"/>
      <c r="Q80" s="90">
        <f t="shared" si="2"/>
        <v>3</v>
      </c>
    </row>
    <row r="81" spans="1:17" s="82" customFormat="1" ht="15" x14ac:dyDescent="0.3">
      <c r="A81" s="63">
        <v>78</v>
      </c>
      <c r="B81" s="107" t="s">
        <v>474</v>
      </c>
      <c r="C81" s="5">
        <v>800</v>
      </c>
      <c r="D81" s="5">
        <v>150</v>
      </c>
      <c r="E81" s="106" t="s">
        <v>468</v>
      </c>
      <c r="F81" s="116">
        <v>10</v>
      </c>
      <c r="G81" s="116">
        <v>10</v>
      </c>
      <c r="H81" s="109"/>
      <c r="I81" s="90"/>
      <c r="J81" s="90"/>
      <c r="K81" s="90"/>
      <c r="L81" s="90"/>
      <c r="M81" s="90">
        <v>1</v>
      </c>
      <c r="N81" s="90">
        <v>1</v>
      </c>
      <c r="O81" s="90"/>
      <c r="P81" s="90"/>
      <c r="Q81" s="90">
        <f t="shared" si="2"/>
        <v>2</v>
      </c>
    </row>
    <row r="82" spans="1:17" s="82" customFormat="1" ht="15" x14ac:dyDescent="0.3">
      <c r="A82" s="63">
        <v>79</v>
      </c>
      <c r="B82" s="107" t="s">
        <v>478</v>
      </c>
      <c r="C82" s="118" t="s">
        <v>313</v>
      </c>
      <c r="D82" s="5">
        <v>300</v>
      </c>
      <c r="E82" s="106" t="s">
        <v>152</v>
      </c>
      <c r="F82" s="116">
        <v>10</v>
      </c>
      <c r="G82" s="116">
        <v>10</v>
      </c>
      <c r="H82" s="109"/>
      <c r="I82" s="90">
        <v>1</v>
      </c>
      <c r="J82" s="90"/>
      <c r="K82" s="90"/>
      <c r="L82" s="90"/>
      <c r="M82" s="90"/>
      <c r="N82" s="90"/>
      <c r="O82" s="90"/>
      <c r="P82" s="90"/>
      <c r="Q82" s="90">
        <f t="shared" si="2"/>
        <v>1</v>
      </c>
    </row>
    <row r="83" spans="1:17" s="82" customFormat="1" ht="15.6" thickBot="1" x14ac:dyDescent="0.35">
      <c r="A83" s="63">
        <v>80</v>
      </c>
      <c r="B83" s="107"/>
      <c r="C83" s="108"/>
      <c r="D83" s="5"/>
      <c r="E83" s="106"/>
      <c r="F83" s="114"/>
      <c r="G83" s="114"/>
      <c r="H83" s="109"/>
      <c r="I83" s="90"/>
      <c r="J83" s="90"/>
      <c r="K83" s="90"/>
      <c r="L83" s="90"/>
      <c r="M83" s="90"/>
      <c r="N83" s="90"/>
      <c r="O83" s="90"/>
      <c r="P83" s="90"/>
      <c r="Q83" s="90">
        <f t="shared" si="2"/>
        <v>0</v>
      </c>
    </row>
    <row r="84" spans="1:17" s="82" customFormat="1" ht="21.6" thickBot="1" x14ac:dyDescent="0.35">
      <c r="A84" s="63"/>
      <c r="B84" s="107"/>
      <c r="C84" s="113">
        <f>SUM(C4:C81)</f>
        <v>55200</v>
      </c>
      <c r="D84" s="129"/>
      <c r="E84" s="130"/>
      <c r="F84" s="131">
        <f>SUM(F4:F75)</f>
        <v>815</v>
      </c>
      <c r="G84" s="115">
        <f>SUM(G4:G82)</f>
        <v>850</v>
      </c>
      <c r="H84" s="133">
        <f t="shared" ref="H84:Q84" si="3">SUM(H4:H83)</f>
        <v>6</v>
      </c>
      <c r="I84" s="134">
        <f t="shared" si="3"/>
        <v>13</v>
      </c>
      <c r="J84" s="134">
        <f t="shared" si="3"/>
        <v>12</v>
      </c>
      <c r="K84" s="134">
        <f t="shared" si="3"/>
        <v>21</v>
      </c>
      <c r="L84" s="134">
        <f t="shared" si="3"/>
        <v>12</v>
      </c>
      <c r="M84" s="134">
        <f t="shared" si="3"/>
        <v>3</v>
      </c>
      <c r="N84" s="134">
        <f t="shared" si="3"/>
        <v>11</v>
      </c>
      <c r="O84" s="134">
        <f t="shared" si="3"/>
        <v>33</v>
      </c>
      <c r="P84" s="134">
        <f t="shared" si="3"/>
        <v>22</v>
      </c>
      <c r="Q84" s="98">
        <f t="shared" si="3"/>
        <v>133</v>
      </c>
    </row>
    <row r="95" spans="1:17" ht="29.4" customHeight="1" x14ac:dyDescent="0.3"/>
    <row r="103" spans="3:4" ht="28.8" customHeight="1" x14ac:dyDescent="0.3"/>
    <row r="108" spans="3:4" x14ac:dyDescent="0.3">
      <c r="C108" s="83"/>
      <c r="D108" s="83"/>
    </row>
    <row r="109" spans="3:4" x14ac:dyDescent="0.3">
      <c r="C109" s="83"/>
      <c r="D109" s="83"/>
    </row>
  </sheetData>
  <mergeCells count="10">
    <mergeCell ref="A1:Q1"/>
    <mergeCell ref="Q2:Q3"/>
    <mergeCell ref="H2:P2"/>
    <mergeCell ref="A2:A3"/>
    <mergeCell ref="B2:B3"/>
    <mergeCell ref="D2:D3"/>
    <mergeCell ref="E2:E3"/>
    <mergeCell ref="G2:G3"/>
    <mergeCell ref="F2:F3"/>
    <mergeCell ref="C2:C3"/>
  </mergeCells>
  <phoneticPr fontId="7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06D3-0715-4F96-955C-6B507C4BADDB}">
  <dimension ref="A2:H82"/>
  <sheetViews>
    <sheetView topLeftCell="A57" workbookViewId="0">
      <selection activeCell="E78" sqref="E78"/>
    </sheetView>
  </sheetViews>
  <sheetFormatPr defaultColWidth="16.44140625" defaultRowHeight="15.6" x14ac:dyDescent="0.3"/>
  <cols>
    <col min="1" max="1" width="7" bestFit="1" customWidth="1"/>
    <col min="2" max="2" width="78.6640625" bestFit="1" customWidth="1"/>
    <col min="3" max="3" width="14.109375" bestFit="1" customWidth="1"/>
    <col min="4" max="4" width="12.5546875" customWidth="1"/>
    <col min="5" max="5" width="21.77734375" bestFit="1" customWidth="1"/>
    <col min="6" max="6" width="18.109375" customWidth="1"/>
    <col min="7" max="7" width="18.44140625" style="78" customWidth="1"/>
    <col min="8" max="8" width="21.33203125" style="57" customWidth="1"/>
  </cols>
  <sheetData>
    <row r="2" spans="1:8" ht="17.399999999999999" customHeight="1" x14ac:dyDescent="0.3">
      <c r="A2" s="250" t="s">
        <v>395</v>
      </c>
      <c r="B2" s="250"/>
      <c r="C2" s="250"/>
      <c r="D2" s="250"/>
      <c r="E2" s="250"/>
      <c r="F2" s="250"/>
      <c r="G2" s="250"/>
      <c r="H2" s="250"/>
    </row>
    <row r="3" spans="1:8" ht="15.6" customHeight="1" x14ac:dyDescent="0.3">
      <c r="A3" s="244" t="s">
        <v>0</v>
      </c>
      <c r="B3" s="234" t="s">
        <v>3</v>
      </c>
      <c r="C3" s="229" t="s">
        <v>190</v>
      </c>
      <c r="D3" s="235" t="s">
        <v>4</v>
      </c>
      <c r="E3" s="234" t="s">
        <v>1</v>
      </c>
      <c r="F3" s="229" t="s">
        <v>484</v>
      </c>
      <c r="G3" s="229" t="s">
        <v>485</v>
      </c>
      <c r="H3" s="229" t="s">
        <v>490</v>
      </c>
    </row>
    <row r="4" spans="1:8" ht="22.2" customHeight="1" x14ac:dyDescent="0.3">
      <c r="A4" s="244"/>
      <c r="B4" s="234"/>
      <c r="C4" s="230"/>
      <c r="D4" s="235"/>
      <c r="E4" s="234"/>
      <c r="F4" s="230"/>
      <c r="G4" s="230"/>
      <c r="H4" s="230"/>
    </row>
    <row r="5" spans="1:8" x14ac:dyDescent="0.3">
      <c r="A5" s="63">
        <v>1</v>
      </c>
      <c r="B5" s="37" t="s">
        <v>51</v>
      </c>
      <c r="C5" s="5"/>
      <c r="D5" s="37" t="s">
        <v>88</v>
      </c>
      <c r="E5" s="44" t="s">
        <v>159</v>
      </c>
      <c r="F5" s="45">
        <v>2</v>
      </c>
      <c r="G5" s="137">
        <v>5</v>
      </c>
      <c r="H5" s="137">
        <f>SUM(F5:G5)</f>
        <v>7</v>
      </c>
    </row>
    <row r="6" spans="1:8" x14ac:dyDescent="0.3">
      <c r="A6" s="63">
        <v>2</v>
      </c>
      <c r="B6" s="37" t="s">
        <v>52</v>
      </c>
      <c r="C6" s="5"/>
      <c r="D6" s="37" t="s">
        <v>88</v>
      </c>
      <c r="E6" s="44" t="s">
        <v>159</v>
      </c>
      <c r="F6" s="45">
        <v>1</v>
      </c>
      <c r="G6" s="137">
        <v>1</v>
      </c>
      <c r="H6" s="137">
        <f t="shared" ref="H6:H69" si="0">SUM(F6:G6)</f>
        <v>2</v>
      </c>
    </row>
    <row r="7" spans="1:8" x14ac:dyDescent="0.3">
      <c r="A7" s="63">
        <v>3</v>
      </c>
      <c r="B7" s="37" t="s">
        <v>53</v>
      </c>
      <c r="C7" s="5"/>
      <c r="D7" s="37" t="s">
        <v>88</v>
      </c>
      <c r="E7" s="44" t="s">
        <v>159</v>
      </c>
      <c r="F7" s="45">
        <v>2</v>
      </c>
      <c r="G7" s="137">
        <v>2</v>
      </c>
      <c r="H7" s="137">
        <f t="shared" si="0"/>
        <v>4</v>
      </c>
    </row>
    <row r="8" spans="1:8" x14ac:dyDescent="0.3">
      <c r="A8" s="63">
        <v>4</v>
      </c>
      <c r="B8" s="37" t="s">
        <v>277</v>
      </c>
      <c r="C8" s="5"/>
      <c r="D8" s="37" t="s">
        <v>88</v>
      </c>
      <c r="E8" s="44" t="s">
        <v>159</v>
      </c>
      <c r="F8" s="45">
        <v>1</v>
      </c>
      <c r="G8" s="137">
        <v>1</v>
      </c>
      <c r="H8" s="137">
        <f t="shared" si="0"/>
        <v>2</v>
      </c>
    </row>
    <row r="9" spans="1:8" x14ac:dyDescent="0.3">
      <c r="A9" s="63">
        <v>5</v>
      </c>
      <c r="B9" s="37" t="s">
        <v>370</v>
      </c>
      <c r="C9" s="5"/>
      <c r="D9" s="37" t="s">
        <v>38</v>
      </c>
      <c r="E9" s="44" t="s">
        <v>160</v>
      </c>
      <c r="F9" s="45">
        <v>2</v>
      </c>
      <c r="G9" s="137">
        <v>1</v>
      </c>
      <c r="H9" s="137">
        <f t="shared" si="0"/>
        <v>3</v>
      </c>
    </row>
    <row r="10" spans="1:8" x14ac:dyDescent="0.3">
      <c r="A10" s="63">
        <v>6</v>
      </c>
      <c r="B10" s="37" t="s">
        <v>58</v>
      </c>
      <c r="C10" s="5"/>
      <c r="D10" s="37" t="s">
        <v>38</v>
      </c>
      <c r="E10" s="44" t="s">
        <v>160</v>
      </c>
      <c r="F10" s="45">
        <v>2</v>
      </c>
      <c r="G10" s="137">
        <v>3</v>
      </c>
      <c r="H10" s="137">
        <f t="shared" si="0"/>
        <v>5</v>
      </c>
    </row>
    <row r="11" spans="1:8" x14ac:dyDescent="0.3">
      <c r="A11" s="63">
        <v>7</v>
      </c>
      <c r="B11" s="37" t="s">
        <v>241</v>
      </c>
      <c r="C11" s="5"/>
      <c r="D11" s="37" t="s">
        <v>38</v>
      </c>
      <c r="E11" s="44" t="s">
        <v>160</v>
      </c>
      <c r="F11" s="45">
        <v>2</v>
      </c>
      <c r="G11" s="137">
        <v>3</v>
      </c>
      <c r="H11" s="137">
        <f t="shared" si="0"/>
        <v>5</v>
      </c>
    </row>
    <row r="12" spans="1:8" x14ac:dyDescent="0.3">
      <c r="A12" s="63">
        <v>8</v>
      </c>
      <c r="B12" s="37" t="s">
        <v>314</v>
      </c>
      <c r="C12" s="5"/>
      <c r="D12" s="37" t="s">
        <v>88</v>
      </c>
      <c r="E12" s="44" t="s">
        <v>161</v>
      </c>
      <c r="F12" s="45"/>
      <c r="G12" s="137">
        <v>4</v>
      </c>
      <c r="H12" s="137">
        <f t="shared" si="0"/>
        <v>4</v>
      </c>
    </row>
    <row r="13" spans="1:8" x14ac:dyDescent="0.3">
      <c r="A13" s="63">
        <v>9</v>
      </c>
      <c r="B13" s="37" t="s">
        <v>233</v>
      </c>
      <c r="C13" s="5"/>
      <c r="D13" s="37" t="s">
        <v>88</v>
      </c>
      <c r="E13" s="44" t="s">
        <v>161</v>
      </c>
      <c r="F13" s="45">
        <v>2</v>
      </c>
      <c r="G13" s="137">
        <v>4</v>
      </c>
      <c r="H13" s="137">
        <f t="shared" si="0"/>
        <v>6</v>
      </c>
    </row>
    <row r="14" spans="1:8" x14ac:dyDescent="0.3">
      <c r="A14" s="63">
        <v>10</v>
      </c>
      <c r="B14" s="37" t="s">
        <v>45</v>
      </c>
      <c r="C14" s="5"/>
      <c r="D14" s="37" t="s">
        <v>38</v>
      </c>
      <c r="E14" s="44" t="s">
        <v>161</v>
      </c>
      <c r="F14" s="45">
        <v>2</v>
      </c>
      <c r="G14" s="137">
        <v>4</v>
      </c>
      <c r="H14" s="137">
        <f t="shared" si="0"/>
        <v>6</v>
      </c>
    </row>
    <row r="15" spans="1:8" x14ac:dyDescent="0.3">
      <c r="A15" s="63">
        <v>11</v>
      </c>
      <c r="B15" s="37" t="s">
        <v>361</v>
      </c>
      <c r="C15" s="5" t="s">
        <v>190</v>
      </c>
      <c r="D15" s="37" t="s">
        <v>38</v>
      </c>
      <c r="E15" s="44" t="s">
        <v>161</v>
      </c>
      <c r="F15" s="45">
        <v>2</v>
      </c>
      <c r="G15" s="137">
        <v>4</v>
      </c>
      <c r="H15" s="137">
        <f t="shared" si="0"/>
        <v>6</v>
      </c>
    </row>
    <row r="16" spans="1:8" x14ac:dyDescent="0.3">
      <c r="A16" s="63">
        <v>12</v>
      </c>
      <c r="B16" s="37" t="s">
        <v>362</v>
      </c>
      <c r="C16" s="5" t="s">
        <v>190</v>
      </c>
      <c r="D16" s="37" t="s">
        <v>38</v>
      </c>
      <c r="E16" s="44" t="s">
        <v>161</v>
      </c>
      <c r="F16" s="45">
        <v>2</v>
      </c>
      <c r="G16" s="137">
        <v>2</v>
      </c>
      <c r="H16" s="137">
        <f t="shared" si="0"/>
        <v>4</v>
      </c>
    </row>
    <row r="17" spans="1:8" x14ac:dyDescent="0.3">
      <c r="A17" s="63">
        <v>13</v>
      </c>
      <c r="B17" s="37" t="s">
        <v>46</v>
      </c>
      <c r="C17" s="5"/>
      <c r="D17" s="37" t="s">
        <v>38</v>
      </c>
      <c r="E17" s="44" t="s">
        <v>161</v>
      </c>
      <c r="F17" s="45">
        <v>2</v>
      </c>
      <c r="G17" s="137">
        <v>4</v>
      </c>
      <c r="H17" s="137">
        <f t="shared" si="0"/>
        <v>6</v>
      </c>
    </row>
    <row r="18" spans="1:8" x14ac:dyDescent="0.3">
      <c r="A18" s="63">
        <v>14</v>
      </c>
      <c r="B18" s="37" t="s">
        <v>47</v>
      </c>
      <c r="C18" s="5"/>
      <c r="D18" s="37" t="s">
        <v>88</v>
      </c>
      <c r="E18" s="44" t="s">
        <v>161</v>
      </c>
      <c r="F18" s="45">
        <v>2</v>
      </c>
      <c r="G18" s="137">
        <v>4</v>
      </c>
      <c r="H18" s="137">
        <f t="shared" si="0"/>
        <v>6</v>
      </c>
    </row>
    <row r="19" spans="1:8" x14ac:dyDescent="0.3">
      <c r="A19" s="63">
        <v>15</v>
      </c>
      <c r="B19" s="37" t="s">
        <v>105</v>
      </c>
      <c r="C19" s="5"/>
      <c r="D19" s="37" t="s">
        <v>38</v>
      </c>
      <c r="E19" s="44" t="s">
        <v>148</v>
      </c>
      <c r="F19" s="45">
        <v>2</v>
      </c>
      <c r="G19" s="137">
        <v>4</v>
      </c>
      <c r="H19" s="137">
        <f t="shared" si="0"/>
        <v>6</v>
      </c>
    </row>
    <row r="20" spans="1:8" x14ac:dyDescent="0.3">
      <c r="A20" s="63">
        <v>16</v>
      </c>
      <c r="B20" s="37" t="s">
        <v>139</v>
      </c>
      <c r="C20" s="5"/>
      <c r="D20" s="37" t="s">
        <v>38</v>
      </c>
      <c r="E20" s="44" t="s">
        <v>148</v>
      </c>
      <c r="F20" s="45">
        <v>2</v>
      </c>
      <c r="G20" s="137">
        <v>4</v>
      </c>
      <c r="H20" s="137">
        <f t="shared" si="0"/>
        <v>6</v>
      </c>
    </row>
    <row r="21" spans="1:8" x14ac:dyDescent="0.3">
      <c r="A21" s="63">
        <v>17</v>
      </c>
      <c r="B21" s="37" t="s">
        <v>90</v>
      </c>
      <c r="C21" s="5"/>
      <c r="D21" s="37" t="s">
        <v>38</v>
      </c>
      <c r="E21" s="44" t="s">
        <v>148</v>
      </c>
      <c r="F21" s="45">
        <v>2</v>
      </c>
      <c r="G21" s="137">
        <v>4</v>
      </c>
      <c r="H21" s="137">
        <f t="shared" si="0"/>
        <v>6</v>
      </c>
    </row>
    <row r="22" spans="1:8" x14ac:dyDescent="0.3">
      <c r="A22" s="63">
        <v>18</v>
      </c>
      <c r="B22" s="37" t="s">
        <v>401</v>
      </c>
      <c r="C22" s="5"/>
      <c r="D22" s="37" t="s">
        <v>38</v>
      </c>
      <c r="E22" s="44" t="s">
        <v>148</v>
      </c>
      <c r="F22" s="45">
        <v>2</v>
      </c>
      <c r="G22" s="137">
        <v>4</v>
      </c>
      <c r="H22" s="137">
        <f t="shared" si="0"/>
        <v>6</v>
      </c>
    </row>
    <row r="23" spans="1:8" x14ac:dyDescent="0.3">
      <c r="A23" s="63">
        <v>19</v>
      </c>
      <c r="B23" s="37" t="s">
        <v>85</v>
      </c>
      <c r="C23" s="5"/>
      <c r="D23" s="37" t="s">
        <v>88</v>
      </c>
      <c r="E23" s="44" t="s">
        <v>164</v>
      </c>
      <c r="F23" s="45">
        <v>2</v>
      </c>
      <c r="G23" s="137">
        <v>4</v>
      </c>
      <c r="H23" s="137">
        <f t="shared" si="0"/>
        <v>6</v>
      </c>
    </row>
    <row r="24" spans="1:8" x14ac:dyDescent="0.3">
      <c r="A24" s="63">
        <v>20</v>
      </c>
      <c r="B24" s="37" t="s">
        <v>109</v>
      </c>
      <c r="C24" s="5"/>
      <c r="D24" s="37" t="s">
        <v>88</v>
      </c>
      <c r="E24" s="44" t="s">
        <v>147</v>
      </c>
      <c r="F24" s="45">
        <v>2</v>
      </c>
      <c r="G24" s="137">
        <v>3</v>
      </c>
      <c r="H24" s="137">
        <f t="shared" si="0"/>
        <v>5</v>
      </c>
    </row>
    <row r="25" spans="1:8" x14ac:dyDescent="0.3">
      <c r="A25" s="63">
        <v>21</v>
      </c>
      <c r="B25" s="37" t="s">
        <v>110</v>
      </c>
      <c r="C25" s="5"/>
      <c r="D25" s="37" t="s">
        <v>88</v>
      </c>
      <c r="E25" s="44" t="s">
        <v>147</v>
      </c>
      <c r="F25" s="45">
        <v>1</v>
      </c>
      <c r="G25" s="137">
        <v>3</v>
      </c>
      <c r="H25" s="137">
        <f t="shared" si="0"/>
        <v>4</v>
      </c>
    </row>
    <row r="26" spans="1:8" x14ac:dyDescent="0.3">
      <c r="A26" s="63">
        <v>22</v>
      </c>
      <c r="B26" s="37" t="s">
        <v>369</v>
      </c>
      <c r="C26" s="5" t="s">
        <v>190</v>
      </c>
      <c r="D26" s="37" t="s">
        <v>38</v>
      </c>
      <c r="E26" s="44" t="s">
        <v>153</v>
      </c>
      <c r="F26" s="45">
        <v>2</v>
      </c>
      <c r="G26" s="137">
        <v>3</v>
      </c>
      <c r="H26" s="137">
        <f t="shared" si="0"/>
        <v>5</v>
      </c>
    </row>
    <row r="27" spans="1:8" x14ac:dyDescent="0.3">
      <c r="A27" s="63">
        <v>23</v>
      </c>
      <c r="B27" s="37" t="s">
        <v>65</v>
      </c>
      <c r="C27" s="5" t="s">
        <v>190</v>
      </c>
      <c r="D27" s="37" t="s">
        <v>38</v>
      </c>
      <c r="E27" s="44" t="s">
        <v>153</v>
      </c>
      <c r="F27" s="45">
        <v>2</v>
      </c>
      <c r="G27" s="137">
        <v>3</v>
      </c>
      <c r="H27" s="137">
        <f t="shared" si="0"/>
        <v>5</v>
      </c>
    </row>
    <row r="28" spans="1:8" x14ac:dyDescent="0.3">
      <c r="A28" s="63">
        <v>24</v>
      </c>
      <c r="B28" s="37" t="s">
        <v>89</v>
      </c>
      <c r="C28" s="5"/>
      <c r="D28" s="37" t="s">
        <v>38</v>
      </c>
      <c r="E28" s="44" t="s">
        <v>157</v>
      </c>
      <c r="F28" s="45">
        <v>2</v>
      </c>
      <c r="G28" s="137">
        <v>3</v>
      </c>
      <c r="H28" s="137">
        <f t="shared" si="0"/>
        <v>5</v>
      </c>
    </row>
    <row r="29" spans="1:8" x14ac:dyDescent="0.3">
      <c r="A29" s="63">
        <v>25</v>
      </c>
      <c r="B29" s="37" t="s">
        <v>340</v>
      </c>
      <c r="C29" s="5"/>
      <c r="D29" s="37" t="s">
        <v>88</v>
      </c>
      <c r="E29" s="44" t="s">
        <v>149</v>
      </c>
      <c r="F29" s="45">
        <v>2</v>
      </c>
      <c r="G29" s="137">
        <v>5</v>
      </c>
      <c r="H29" s="137">
        <f t="shared" si="0"/>
        <v>7</v>
      </c>
    </row>
    <row r="30" spans="1:8" x14ac:dyDescent="0.3">
      <c r="A30" s="63">
        <v>26</v>
      </c>
      <c r="B30" s="37" t="s">
        <v>91</v>
      </c>
      <c r="C30" s="5"/>
      <c r="D30" s="37" t="s">
        <v>88</v>
      </c>
      <c r="E30" s="44" t="s">
        <v>149</v>
      </c>
      <c r="F30" s="45">
        <v>2</v>
      </c>
      <c r="G30" s="137">
        <v>5</v>
      </c>
      <c r="H30" s="137">
        <f t="shared" si="0"/>
        <v>7</v>
      </c>
    </row>
    <row r="31" spans="1:8" x14ac:dyDescent="0.3">
      <c r="A31" s="63">
        <v>27</v>
      </c>
      <c r="B31" s="37" t="s">
        <v>97</v>
      </c>
      <c r="C31" s="5" t="s">
        <v>190</v>
      </c>
      <c r="D31" s="37" t="s">
        <v>38</v>
      </c>
      <c r="E31" s="44" t="s">
        <v>167</v>
      </c>
      <c r="F31" s="45">
        <v>2</v>
      </c>
      <c r="G31" s="137">
        <v>5</v>
      </c>
      <c r="H31" s="137">
        <f t="shared" si="0"/>
        <v>7</v>
      </c>
    </row>
    <row r="32" spans="1:8" x14ac:dyDescent="0.3">
      <c r="A32" s="63">
        <v>28</v>
      </c>
      <c r="B32" s="37" t="s">
        <v>274</v>
      </c>
      <c r="C32" s="5" t="s">
        <v>190</v>
      </c>
      <c r="D32" s="37" t="s">
        <v>38</v>
      </c>
      <c r="E32" s="44" t="s">
        <v>172</v>
      </c>
      <c r="F32" s="45">
        <v>2</v>
      </c>
      <c r="G32" s="137">
        <v>4</v>
      </c>
      <c r="H32" s="137">
        <f t="shared" si="0"/>
        <v>6</v>
      </c>
    </row>
    <row r="33" spans="1:8" x14ac:dyDescent="0.3">
      <c r="A33" s="63">
        <v>29</v>
      </c>
      <c r="B33" s="37" t="s">
        <v>273</v>
      </c>
      <c r="C33" s="5" t="s">
        <v>190</v>
      </c>
      <c r="D33" s="37" t="s">
        <v>38</v>
      </c>
      <c r="E33" s="44" t="s">
        <v>172</v>
      </c>
      <c r="F33" s="45">
        <v>2</v>
      </c>
      <c r="G33" s="137">
        <v>4</v>
      </c>
      <c r="H33" s="137">
        <f t="shared" si="0"/>
        <v>6</v>
      </c>
    </row>
    <row r="34" spans="1:8" x14ac:dyDescent="0.3">
      <c r="A34" s="63">
        <v>30</v>
      </c>
      <c r="B34" s="37" t="s">
        <v>96</v>
      </c>
      <c r="C34" s="5"/>
      <c r="D34" s="37" t="s">
        <v>38</v>
      </c>
      <c r="E34" s="44" t="s">
        <v>151</v>
      </c>
      <c r="F34" s="45">
        <v>2</v>
      </c>
      <c r="G34" s="137"/>
      <c r="H34" s="137">
        <f t="shared" si="0"/>
        <v>2</v>
      </c>
    </row>
    <row r="35" spans="1:8" x14ac:dyDescent="0.3">
      <c r="A35" s="63">
        <v>31</v>
      </c>
      <c r="B35" s="37" t="s">
        <v>135</v>
      </c>
      <c r="C35" s="5"/>
      <c r="D35" s="37" t="s">
        <v>38</v>
      </c>
      <c r="E35" s="44" t="s">
        <v>146</v>
      </c>
      <c r="F35" s="45">
        <v>1</v>
      </c>
      <c r="G35" s="137">
        <v>3</v>
      </c>
      <c r="H35" s="137">
        <f t="shared" si="0"/>
        <v>4</v>
      </c>
    </row>
    <row r="36" spans="1:8" x14ac:dyDescent="0.3">
      <c r="A36" s="63">
        <v>32</v>
      </c>
      <c r="B36" s="37" t="s">
        <v>188</v>
      </c>
      <c r="C36" s="5"/>
      <c r="D36" s="37" t="s">
        <v>38</v>
      </c>
      <c r="E36" s="44" t="s">
        <v>187</v>
      </c>
      <c r="F36" s="45">
        <v>2</v>
      </c>
      <c r="G36" s="137">
        <v>5</v>
      </c>
      <c r="H36" s="137">
        <f t="shared" si="0"/>
        <v>7</v>
      </c>
    </row>
    <row r="37" spans="1:8" x14ac:dyDescent="0.3">
      <c r="A37" s="63">
        <v>33</v>
      </c>
      <c r="B37" s="37" t="s">
        <v>193</v>
      </c>
      <c r="C37" s="5"/>
      <c r="D37" s="37" t="s">
        <v>88</v>
      </c>
      <c r="E37" s="44" t="s">
        <v>192</v>
      </c>
      <c r="F37" s="45">
        <v>2</v>
      </c>
      <c r="G37" s="137"/>
      <c r="H37" s="137">
        <f t="shared" si="0"/>
        <v>2</v>
      </c>
    </row>
    <row r="38" spans="1:8" x14ac:dyDescent="0.3">
      <c r="A38" s="63">
        <v>34</v>
      </c>
      <c r="B38" s="37" t="s">
        <v>63</v>
      </c>
      <c r="C38" s="5"/>
      <c r="D38" s="37" t="s">
        <v>57</v>
      </c>
      <c r="E38" s="44" t="s">
        <v>195</v>
      </c>
      <c r="F38" s="45">
        <v>1</v>
      </c>
      <c r="G38" s="137"/>
      <c r="H38" s="137">
        <f t="shared" si="0"/>
        <v>1</v>
      </c>
    </row>
    <row r="39" spans="1:8" x14ac:dyDescent="0.3">
      <c r="A39" s="63">
        <v>35</v>
      </c>
      <c r="B39" s="37" t="s">
        <v>86</v>
      </c>
      <c r="C39" s="5"/>
      <c r="D39" s="37" t="s">
        <v>88</v>
      </c>
      <c r="E39" s="44" t="s">
        <v>287</v>
      </c>
      <c r="F39" s="45">
        <v>2</v>
      </c>
      <c r="G39" s="137"/>
      <c r="H39" s="137">
        <f t="shared" si="0"/>
        <v>2</v>
      </c>
    </row>
    <row r="40" spans="1:8" x14ac:dyDescent="0.3">
      <c r="A40" s="63">
        <v>36</v>
      </c>
      <c r="B40" s="37" t="s">
        <v>398</v>
      </c>
      <c r="C40" s="5"/>
      <c r="D40" s="37" t="s">
        <v>88</v>
      </c>
      <c r="E40" s="44" t="s">
        <v>287</v>
      </c>
      <c r="F40" s="45">
        <v>2</v>
      </c>
      <c r="G40" s="137"/>
      <c r="H40" s="137">
        <f t="shared" si="0"/>
        <v>2</v>
      </c>
    </row>
    <row r="41" spans="1:8" x14ac:dyDescent="0.3">
      <c r="A41" s="63">
        <v>37</v>
      </c>
      <c r="B41" s="37" t="s">
        <v>399</v>
      </c>
      <c r="C41" s="5"/>
      <c r="D41" s="37" t="s">
        <v>88</v>
      </c>
      <c r="E41" s="44" t="s">
        <v>287</v>
      </c>
      <c r="F41" s="45">
        <v>2</v>
      </c>
      <c r="G41" s="137"/>
      <c r="H41" s="137">
        <f t="shared" si="0"/>
        <v>2</v>
      </c>
    </row>
    <row r="42" spans="1:8" x14ac:dyDescent="0.3">
      <c r="A42" s="63">
        <v>38</v>
      </c>
      <c r="B42" s="37" t="s">
        <v>288</v>
      </c>
      <c r="C42" s="5"/>
      <c r="D42" s="37" t="s">
        <v>88</v>
      </c>
      <c r="E42" s="44" t="s">
        <v>267</v>
      </c>
      <c r="F42" s="45">
        <v>1</v>
      </c>
      <c r="G42" s="137"/>
      <c r="H42" s="137">
        <f t="shared" si="0"/>
        <v>1</v>
      </c>
    </row>
    <row r="43" spans="1:8" x14ac:dyDescent="0.3">
      <c r="A43" s="63">
        <v>39</v>
      </c>
      <c r="B43" s="37" t="s">
        <v>291</v>
      </c>
      <c r="C43" s="5"/>
      <c r="D43" s="37" t="s">
        <v>88</v>
      </c>
      <c r="E43" s="55" t="s">
        <v>140</v>
      </c>
      <c r="F43" s="45">
        <v>1</v>
      </c>
      <c r="G43" s="137"/>
      <c r="H43" s="137">
        <f t="shared" si="0"/>
        <v>1</v>
      </c>
    </row>
    <row r="44" spans="1:8" x14ac:dyDescent="0.3">
      <c r="A44" s="63">
        <v>40</v>
      </c>
      <c r="B44" s="37" t="s">
        <v>124</v>
      </c>
      <c r="C44" s="5"/>
      <c r="D44" s="37" t="s">
        <v>38</v>
      </c>
      <c r="E44" s="55" t="s">
        <v>179</v>
      </c>
      <c r="F44" s="45">
        <v>2</v>
      </c>
      <c r="G44" s="137">
        <v>2</v>
      </c>
      <c r="H44" s="137">
        <f t="shared" si="0"/>
        <v>4</v>
      </c>
    </row>
    <row r="45" spans="1:8" x14ac:dyDescent="0.3">
      <c r="A45" s="63">
        <v>41</v>
      </c>
      <c r="B45" s="37" t="s">
        <v>178</v>
      </c>
      <c r="C45" s="5"/>
      <c r="D45" s="37" t="s">
        <v>38</v>
      </c>
      <c r="E45" s="44" t="s">
        <v>177</v>
      </c>
      <c r="F45" s="45">
        <v>1</v>
      </c>
      <c r="G45" s="137">
        <v>3</v>
      </c>
      <c r="H45" s="137">
        <f t="shared" si="0"/>
        <v>4</v>
      </c>
    </row>
    <row r="46" spans="1:8" x14ac:dyDescent="0.3">
      <c r="A46" s="63">
        <v>42</v>
      </c>
      <c r="B46" s="37" t="s">
        <v>176</v>
      </c>
      <c r="C46" s="5"/>
      <c r="D46" s="37" t="s">
        <v>38</v>
      </c>
      <c r="E46" s="44" t="s">
        <v>177</v>
      </c>
      <c r="F46" s="45">
        <v>1</v>
      </c>
      <c r="G46" s="137">
        <v>3</v>
      </c>
      <c r="H46" s="137">
        <f t="shared" si="0"/>
        <v>4</v>
      </c>
    </row>
    <row r="47" spans="1:8" x14ac:dyDescent="0.3">
      <c r="A47" s="63">
        <v>43</v>
      </c>
      <c r="B47" s="37" t="s">
        <v>292</v>
      </c>
      <c r="C47" s="5"/>
      <c r="D47" s="37" t="s">
        <v>88</v>
      </c>
      <c r="E47" s="55" t="s">
        <v>293</v>
      </c>
      <c r="F47" s="45">
        <v>2</v>
      </c>
      <c r="G47" s="137">
        <v>2</v>
      </c>
      <c r="H47" s="137">
        <f t="shared" si="0"/>
        <v>4</v>
      </c>
    </row>
    <row r="48" spans="1:8" x14ac:dyDescent="0.3">
      <c r="A48" s="63">
        <v>44</v>
      </c>
      <c r="B48" s="37" t="s">
        <v>317</v>
      </c>
      <c r="C48" s="5"/>
      <c r="D48" s="37" t="s">
        <v>88</v>
      </c>
      <c r="E48" s="55" t="s">
        <v>315</v>
      </c>
      <c r="F48" s="45">
        <v>2</v>
      </c>
      <c r="G48" s="137">
        <v>3</v>
      </c>
      <c r="H48" s="137">
        <f t="shared" si="0"/>
        <v>5</v>
      </c>
    </row>
    <row r="49" spans="1:8" x14ac:dyDescent="0.3">
      <c r="A49" s="63">
        <v>45</v>
      </c>
      <c r="B49" s="37" t="s">
        <v>318</v>
      </c>
      <c r="C49" s="5"/>
      <c r="D49" s="37" t="s">
        <v>88</v>
      </c>
      <c r="E49" s="55" t="s">
        <v>315</v>
      </c>
      <c r="F49" s="45">
        <v>2</v>
      </c>
      <c r="G49" s="137">
        <v>3</v>
      </c>
      <c r="H49" s="137">
        <f t="shared" si="0"/>
        <v>5</v>
      </c>
    </row>
    <row r="50" spans="1:8" x14ac:dyDescent="0.3">
      <c r="A50" s="63">
        <v>46</v>
      </c>
      <c r="B50" s="37" t="s">
        <v>319</v>
      </c>
      <c r="C50" s="5"/>
      <c r="D50" s="37" t="s">
        <v>88</v>
      </c>
      <c r="E50" s="55" t="s">
        <v>316</v>
      </c>
      <c r="F50" s="45">
        <v>2</v>
      </c>
      <c r="G50" s="137">
        <v>3</v>
      </c>
      <c r="H50" s="137">
        <f t="shared" si="0"/>
        <v>5</v>
      </c>
    </row>
    <row r="51" spans="1:8" x14ac:dyDescent="0.3">
      <c r="A51" s="63">
        <v>47</v>
      </c>
      <c r="B51" s="37" t="s">
        <v>337</v>
      </c>
      <c r="C51" s="5"/>
      <c r="D51" s="37" t="s">
        <v>38</v>
      </c>
      <c r="E51" s="55" t="s">
        <v>168</v>
      </c>
      <c r="F51" s="45">
        <v>2</v>
      </c>
      <c r="G51" s="137"/>
      <c r="H51" s="137">
        <f t="shared" si="0"/>
        <v>2</v>
      </c>
    </row>
    <row r="52" spans="1:8" x14ac:dyDescent="0.3">
      <c r="A52" s="63">
        <v>48</v>
      </c>
      <c r="B52" s="37" t="s">
        <v>247</v>
      </c>
      <c r="C52" s="5"/>
      <c r="D52" s="37" t="s">
        <v>38</v>
      </c>
      <c r="E52" s="55" t="s">
        <v>168</v>
      </c>
      <c r="F52" s="45">
        <v>2</v>
      </c>
      <c r="G52" s="46"/>
      <c r="H52" s="137">
        <f t="shared" si="0"/>
        <v>2</v>
      </c>
    </row>
    <row r="53" spans="1:8" x14ac:dyDescent="0.3">
      <c r="A53" s="63">
        <v>49</v>
      </c>
      <c r="B53" s="37" t="s">
        <v>397</v>
      </c>
      <c r="C53" s="5"/>
      <c r="D53" s="37" t="s">
        <v>88</v>
      </c>
      <c r="E53" s="55" t="s">
        <v>150</v>
      </c>
      <c r="F53" s="45">
        <v>1</v>
      </c>
      <c r="G53" s="137"/>
      <c r="H53" s="137">
        <f t="shared" si="0"/>
        <v>1</v>
      </c>
    </row>
    <row r="54" spans="1:8" x14ac:dyDescent="0.3">
      <c r="A54" s="63">
        <v>50</v>
      </c>
      <c r="B54" s="37" t="s">
        <v>387</v>
      </c>
      <c r="C54" s="5"/>
      <c r="D54" s="37" t="s">
        <v>38</v>
      </c>
      <c r="E54" s="55" t="s">
        <v>349</v>
      </c>
      <c r="F54" s="45">
        <v>2</v>
      </c>
      <c r="G54" s="137"/>
      <c r="H54" s="137">
        <f t="shared" si="0"/>
        <v>2</v>
      </c>
    </row>
    <row r="55" spans="1:8" x14ac:dyDescent="0.3">
      <c r="A55" s="63">
        <v>51</v>
      </c>
      <c r="B55" s="37" t="s">
        <v>335</v>
      </c>
      <c r="C55" s="5"/>
      <c r="D55" s="37" t="s">
        <v>88</v>
      </c>
      <c r="E55" s="55" t="s">
        <v>191</v>
      </c>
      <c r="F55" s="45">
        <v>1</v>
      </c>
      <c r="G55" s="137"/>
      <c r="H55" s="137">
        <f t="shared" si="0"/>
        <v>1</v>
      </c>
    </row>
    <row r="56" spans="1:8" x14ac:dyDescent="0.3">
      <c r="A56" s="63">
        <v>52</v>
      </c>
      <c r="B56" s="37" t="s">
        <v>355</v>
      </c>
      <c r="C56" s="5"/>
      <c r="D56" s="37" t="s">
        <v>88</v>
      </c>
      <c r="E56" s="55" t="s">
        <v>191</v>
      </c>
      <c r="F56" s="45">
        <v>1</v>
      </c>
      <c r="G56" s="137"/>
      <c r="H56" s="137">
        <f t="shared" si="0"/>
        <v>1</v>
      </c>
    </row>
    <row r="57" spans="1:8" x14ac:dyDescent="0.3">
      <c r="A57" s="63">
        <v>53</v>
      </c>
      <c r="B57" s="37" t="s">
        <v>420</v>
      </c>
      <c r="C57" s="5"/>
      <c r="D57" s="37" t="s">
        <v>88</v>
      </c>
      <c r="E57" s="55" t="s">
        <v>419</v>
      </c>
      <c r="F57" s="45">
        <v>2</v>
      </c>
      <c r="G57" s="137"/>
      <c r="H57" s="137">
        <f t="shared" si="0"/>
        <v>2</v>
      </c>
    </row>
    <row r="58" spans="1:8" x14ac:dyDescent="0.3">
      <c r="A58" s="63">
        <v>54</v>
      </c>
      <c r="B58" s="37" t="s">
        <v>421</v>
      </c>
      <c r="C58" s="5"/>
      <c r="D58" s="37" t="s">
        <v>88</v>
      </c>
      <c r="E58" s="55" t="s">
        <v>419</v>
      </c>
      <c r="F58" s="45">
        <v>2</v>
      </c>
      <c r="G58" s="137"/>
      <c r="H58" s="137">
        <f t="shared" si="0"/>
        <v>2</v>
      </c>
    </row>
    <row r="59" spans="1:8" x14ac:dyDescent="0.3">
      <c r="A59" s="63">
        <v>55</v>
      </c>
      <c r="B59" s="37" t="s">
        <v>423</v>
      </c>
      <c r="C59" s="5"/>
      <c r="D59" s="37" t="s">
        <v>88</v>
      </c>
      <c r="E59" s="55" t="s">
        <v>390</v>
      </c>
      <c r="F59" s="45">
        <v>2</v>
      </c>
      <c r="G59" s="137"/>
      <c r="H59" s="137">
        <f t="shared" si="0"/>
        <v>2</v>
      </c>
    </row>
    <row r="60" spans="1:8" x14ac:dyDescent="0.3">
      <c r="A60" s="63">
        <v>56</v>
      </c>
      <c r="B60" s="37" t="s">
        <v>426</v>
      </c>
      <c r="C60" s="5"/>
      <c r="D60" s="37" t="s">
        <v>88</v>
      </c>
      <c r="E60" s="55" t="s">
        <v>152</v>
      </c>
      <c r="F60" s="46">
        <v>2</v>
      </c>
      <c r="G60" s="137"/>
      <c r="H60" s="137">
        <f t="shared" si="0"/>
        <v>2</v>
      </c>
    </row>
    <row r="61" spans="1:8" x14ac:dyDescent="0.3">
      <c r="A61" s="63">
        <v>57</v>
      </c>
      <c r="B61" s="37" t="s">
        <v>425</v>
      </c>
      <c r="C61" s="5"/>
      <c r="D61" s="37" t="s">
        <v>88</v>
      </c>
      <c r="E61" s="55" t="s">
        <v>152</v>
      </c>
      <c r="F61" s="46">
        <v>2</v>
      </c>
      <c r="G61" s="137"/>
      <c r="H61" s="137">
        <f t="shared" si="0"/>
        <v>2</v>
      </c>
    </row>
    <row r="62" spans="1:8" x14ac:dyDescent="0.3">
      <c r="A62" s="63">
        <v>58</v>
      </c>
      <c r="B62" s="37" t="s">
        <v>453</v>
      </c>
      <c r="C62" s="5"/>
      <c r="D62" s="37" t="s">
        <v>88</v>
      </c>
      <c r="E62" s="55" t="s">
        <v>437</v>
      </c>
      <c r="F62" s="46">
        <v>2</v>
      </c>
      <c r="G62" s="137"/>
      <c r="H62" s="137">
        <f t="shared" si="0"/>
        <v>2</v>
      </c>
    </row>
    <row r="63" spans="1:8" x14ac:dyDescent="0.3">
      <c r="A63" s="63">
        <v>59</v>
      </c>
      <c r="B63" s="111" t="s">
        <v>403</v>
      </c>
      <c r="C63" s="5"/>
      <c r="D63" s="37" t="s">
        <v>38</v>
      </c>
      <c r="E63" s="55" t="s">
        <v>390</v>
      </c>
      <c r="F63" s="46">
        <v>2</v>
      </c>
      <c r="G63" s="137"/>
      <c r="H63" s="137">
        <f t="shared" si="0"/>
        <v>2</v>
      </c>
    </row>
    <row r="64" spans="1:8" x14ac:dyDescent="0.3">
      <c r="A64" s="63">
        <v>60</v>
      </c>
      <c r="B64" s="111" t="s">
        <v>194</v>
      </c>
      <c r="C64" s="5"/>
      <c r="D64" s="37" t="s">
        <v>38</v>
      </c>
      <c r="E64" s="55" t="s">
        <v>195</v>
      </c>
      <c r="F64" s="46">
        <v>1</v>
      </c>
      <c r="G64" s="137"/>
      <c r="H64" s="137">
        <f t="shared" si="0"/>
        <v>1</v>
      </c>
    </row>
    <row r="65" spans="1:8" x14ac:dyDescent="0.3">
      <c r="A65" s="63">
        <v>61</v>
      </c>
      <c r="B65" s="111" t="s">
        <v>181</v>
      </c>
      <c r="C65" s="5"/>
      <c r="D65" s="37" t="s">
        <v>88</v>
      </c>
      <c r="E65" s="44" t="s">
        <v>155</v>
      </c>
      <c r="F65" s="46">
        <v>1</v>
      </c>
      <c r="G65" s="46"/>
      <c r="H65" s="137">
        <f t="shared" si="0"/>
        <v>1</v>
      </c>
    </row>
    <row r="66" spans="1:8" x14ac:dyDescent="0.3">
      <c r="A66" s="63">
        <v>62</v>
      </c>
      <c r="B66" s="111" t="s">
        <v>487</v>
      </c>
      <c r="C66" s="5"/>
      <c r="D66" s="37" t="s">
        <v>88</v>
      </c>
      <c r="E66" s="44" t="s">
        <v>486</v>
      </c>
      <c r="F66" s="46"/>
      <c r="G66" s="46">
        <v>3</v>
      </c>
      <c r="H66" s="137">
        <f t="shared" si="0"/>
        <v>3</v>
      </c>
    </row>
    <row r="67" spans="1:8" x14ac:dyDescent="0.3">
      <c r="A67" s="63">
        <v>63</v>
      </c>
      <c r="B67" s="111" t="s">
        <v>488</v>
      </c>
      <c r="C67" s="5"/>
      <c r="D67" s="37" t="s">
        <v>88</v>
      </c>
      <c r="E67" s="44" t="s">
        <v>486</v>
      </c>
      <c r="F67" s="46"/>
      <c r="G67" s="46">
        <v>3</v>
      </c>
      <c r="H67" s="137">
        <f t="shared" si="0"/>
        <v>3</v>
      </c>
    </row>
    <row r="68" spans="1:8" x14ac:dyDescent="0.3">
      <c r="A68" s="63">
        <v>64</v>
      </c>
      <c r="B68" s="111" t="s">
        <v>489</v>
      </c>
      <c r="C68" s="5"/>
      <c r="D68" s="37" t="s">
        <v>38</v>
      </c>
      <c r="E68" s="44" t="s">
        <v>197</v>
      </c>
      <c r="F68" s="46"/>
      <c r="G68" s="46">
        <v>5</v>
      </c>
      <c r="H68" s="137">
        <f t="shared" si="0"/>
        <v>5</v>
      </c>
    </row>
    <row r="69" spans="1:8" x14ac:dyDescent="0.3">
      <c r="A69" s="63">
        <v>65</v>
      </c>
      <c r="B69" s="111" t="s">
        <v>402</v>
      </c>
      <c r="C69" s="5"/>
      <c r="D69" s="37" t="s">
        <v>38</v>
      </c>
      <c r="E69" s="44" t="s">
        <v>390</v>
      </c>
      <c r="F69" s="46"/>
      <c r="G69" s="46">
        <v>5</v>
      </c>
      <c r="H69" s="137">
        <f t="shared" si="0"/>
        <v>5</v>
      </c>
    </row>
    <row r="70" spans="1:8" x14ac:dyDescent="0.3">
      <c r="A70" s="63">
        <v>66</v>
      </c>
      <c r="B70" s="111" t="s">
        <v>133</v>
      </c>
      <c r="C70" s="5"/>
      <c r="D70" s="37" t="s">
        <v>88</v>
      </c>
      <c r="E70" s="44" t="s">
        <v>138</v>
      </c>
      <c r="F70" s="46"/>
      <c r="G70" s="46">
        <v>5</v>
      </c>
      <c r="H70" s="137">
        <f t="shared" ref="H70:H79" si="1">SUM(F70:G70)</f>
        <v>5</v>
      </c>
    </row>
    <row r="71" spans="1:8" x14ac:dyDescent="0.3">
      <c r="A71" s="63">
        <v>67</v>
      </c>
      <c r="B71" s="111" t="s">
        <v>491</v>
      </c>
      <c r="C71" s="5"/>
      <c r="D71" s="37" t="s">
        <v>88</v>
      </c>
      <c r="E71" s="44" t="s">
        <v>468</v>
      </c>
      <c r="F71" s="46"/>
      <c r="G71" s="46">
        <v>3</v>
      </c>
      <c r="H71" s="137">
        <f t="shared" si="1"/>
        <v>3</v>
      </c>
    </row>
    <row r="72" spans="1:8" x14ac:dyDescent="0.3">
      <c r="A72" s="63">
        <v>68</v>
      </c>
      <c r="B72" s="111" t="s">
        <v>466</v>
      </c>
      <c r="C72" s="5"/>
      <c r="D72" s="37" t="s">
        <v>88</v>
      </c>
      <c r="E72" s="44" t="s">
        <v>467</v>
      </c>
      <c r="F72" s="46"/>
      <c r="G72" s="46">
        <v>5</v>
      </c>
      <c r="H72" s="137">
        <f t="shared" si="1"/>
        <v>5</v>
      </c>
    </row>
    <row r="73" spans="1:8" x14ac:dyDescent="0.3">
      <c r="A73" s="63">
        <v>69</v>
      </c>
      <c r="B73" s="111" t="s">
        <v>492</v>
      </c>
      <c r="C73" s="5"/>
      <c r="D73" s="37" t="s">
        <v>88</v>
      </c>
      <c r="E73" s="44" t="s">
        <v>264</v>
      </c>
      <c r="F73" s="46"/>
      <c r="G73" s="46">
        <v>2</v>
      </c>
      <c r="H73" s="137">
        <f t="shared" si="1"/>
        <v>2</v>
      </c>
    </row>
    <row r="74" spans="1:8" x14ac:dyDescent="0.3">
      <c r="A74" s="63">
        <v>70</v>
      </c>
      <c r="B74" s="111" t="s">
        <v>493</v>
      </c>
      <c r="C74" s="5"/>
      <c r="D74" s="37" t="s">
        <v>88</v>
      </c>
      <c r="E74" s="44" t="s">
        <v>153</v>
      </c>
      <c r="F74" s="46"/>
      <c r="G74" s="46">
        <v>2</v>
      </c>
      <c r="H74" s="137">
        <f t="shared" si="1"/>
        <v>2</v>
      </c>
    </row>
    <row r="75" spans="1:8" x14ac:dyDescent="0.3">
      <c r="A75" s="63">
        <v>71</v>
      </c>
      <c r="B75" s="111" t="s">
        <v>512</v>
      </c>
      <c r="C75" s="5"/>
      <c r="D75" s="37" t="s">
        <v>88</v>
      </c>
      <c r="E75" s="44" t="s">
        <v>511</v>
      </c>
      <c r="F75" s="46"/>
      <c r="G75" s="46">
        <v>4</v>
      </c>
      <c r="H75" s="137">
        <f t="shared" si="1"/>
        <v>4</v>
      </c>
    </row>
    <row r="76" spans="1:8" x14ac:dyDescent="0.3">
      <c r="A76" s="63">
        <v>72</v>
      </c>
      <c r="B76" s="111" t="s">
        <v>523</v>
      </c>
      <c r="C76" s="5"/>
      <c r="D76" s="37" t="s">
        <v>38</v>
      </c>
      <c r="E76" s="44" t="s">
        <v>467</v>
      </c>
      <c r="F76" s="46"/>
      <c r="G76" s="46">
        <v>4</v>
      </c>
      <c r="H76" s="137">
        <f t="shared" si="1"/>
        <v>4</v>
      </c>
    </row>
    <row r="77" spans="1:8" x14ac:dyDescent="0.3">
      <c r="A77" s="63">
        <v>73</v>
      </c>
      <c r="B77" s="111" t="s">
        <v>496</v>
      </c>
      <c r="C77" s="5"/>
      <c r="D77" s="37" t="s">
        <v>88</v>
      </c>
      <c r="E77" s="44" t="s">
        <v>468</v>
      </c>
      <c r="F77" s="46"/>
      <c r="G77" s="46">
        <v>1</v>
      </c>
      <c r="H77" s="145">
        <f t="shared" si="1"/>
        <v>1</v>
      </c>
    </row>
    <row r="78" spans="1:8" x14ac:dyDescent="0.3">
      <c r="A78" s="63">
        <v>74</v>
      </c>
      <c r="B78" s="111" t="s">
        <v>482</v>
      </c>
      <c r="C78" s="5"/>
      <c r="D78" s="37" t="s">
        <v>88</v>
      </c>
      <c r="E78" s="44" t="s">
        <v>480</v>
      </c>
      <c r="F78" s="46"/>
      <c r="G78" s="46">
        <v>3</v>
      </c>
      <c r="H78" s="145">
        <f t="shared" si="1"/>
        <v>3</v>
      </c>
    </row>
    <row r="79" spans="1:8" x14ac:dyDescent="0.3">
      <c r="A79" s="63">
        <v>75</v>
      </c>
      <c r="B79" s="111"/>
      <c r="C79" s="5" t="s">
        <v>190</v>
      </c>
      <c r="D79" s="37" t="s">
        <v>38</v>
      </c>
      <c r="E79" s="44" t="s">
        <v>172</v>
      </c>
      <c r="F79" s="46"/>
      <c r="G79" s="46">
        <v>1</v>
      </c>
      <c r="H79" s="145">
        <f t="shared" si="1"/>
        <v>1</v>
      </c>
    </row>
    <row r="80" spans="1:8" x14ac:dyDescent="0.3">
      <c r="A80" s="63">
        <v>76</v>
      </c>
      <c r="B80" s="111"/>
      <c r="C80" s="5"/>
      <c r="D80" s="37"/>
      <c r="E80" s="44"/>
      <c r="F80" s="46"/>
      <c r="G80" s="46"/>
      <c r="H80" s="145"/>
    </row>
    <row r="81" spans="1:8" x14ac:dyDescent="0.3">
      <c r="A81" s="63">
        <v>77</v>
      </c>
      <c r="B81" s="111"/>
      <c r="C81" s="5"/>
      <c r="D81" s="37"/>
      <c r="E81" s="44"/>
      <c r="F81" s="46"/>
      <c r="G81" s="46"/>
      <c r="H81" s="145"/>
    </row>
    <row r="82" spans="1:8" ht="16.2" thickBot="1" x14ac:dyDescent="0.35">
      <c r="A82" s="241" t="s">
        <v>526</v>
      </c>
      <c r="B82" s="242"/>
      <c r="C82" s="242"/>
      <c r="D82" s="242"/>
      <c r="E82" s="243"/>
      <c r="F82" s="65">
        <f>SUM(F5:F81)</f>
        <v>106</v>
      </c>
      <c r="G82" s="67">
        <f>SUM(G5:G81)</f>
        <v>173</v>
      </c>
      <c r="H82" s="67">
        <f>SUM(H5:H79)</f>
        <v>279</v>
      </c>
    </row>
  </sheetData>
  <mergeCells count="10">
    <mergeCell ref="G3:G4"/>
    <mergeCell ref="H3:H4"/>
    <mergeCell ref="A2:H2"/>
    <mergeCell ref="A82:E82"/>
    <mergeCell ref="F3:F4"/>
    <mergeCell ref="A3:A4"/>
    <mergeCell ref="B3:B4"/>
    <mergeCell ref="C3:C4"/>
    <mergeCell ref="D3:D4"/>
    <mergeCell ref="E3:E4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DBE-63A1-4026-8A6A-AA55EAD2C7D5}">
  <dimension ref="A2:I66"/>
  <sheetViews>
    <sheetView workbookViewId="0">
      <selection activeCell="A2" sqref="A2:I64"/>
    </sheetView>
  </sheetViews>
  <sheetFormatPr defaultColWidth="16.44140625" defaultRowHeight="15" x14ac:dyDescent="0.3"/>
  <cols>
    <col min="1" max="1" width="7" bestFit="1" customWidth="1"/>
    <col min="2" max="2" width="78.6640625" bestFit="1" customWidth="1"/>
    <col min="3" max="3" width="13.6640625" customWidth="1"/>
    <col min="4" max="4" width="22.88671875" customWidth="1"/>
    <col min="5" max="5" width="22.77734375" customWidth="1"/>
    <col min="6" max="6" width="12.77734375" bestFit="1" customWidth="1"/>
    <col min="7" max="7" width="6.6640625" customWidth="1"/>
    <col min="8" max="8" width="16.21875" customWidth="1"/>
    <col min="9" max="9" width="9.21875" style="105" customWidth="1"/>
  </cols>
  <sheetData>
    <row r="2" spans="1:9" ht="17.399999999999999" x14ac:dyDescent="0.3">
      <c r="A2" s="245" t="s">
        <v>446</v>
      </c>
      <c r="B2" s="246"/>
      <c r="C2" s="246"/>
      <c r="D2" s="246"/>
      <c r="E2" s="246"/>
      <c r="F2" s="246"/>
      <c r="G2" s="246"/>
      <c r="H2" s="246"/>
      <c r="I2" s="254"/>
    </row>
    <row r="3" spans="1:9" ht="14.4" x14ac:dyDescent="0.3">
      <c r="A3" s="244" t="s">
        <v>0</v>
      </c>
      <c r="B3" s="234" t="s">
        <v>3</v>
      </c>
      <c r="C3" s="235" t="s">
        <v>4</v>
      </c>
      <c r="D3" s="234" t="s">
        <v>1</v>
      </c>
      <c r="E3" s="229" t="s">
        <v>441</v>
      </c>
      <c r="F3" s="229" t="s">
        <v>158</v>
      </c>
      <c r="G3" s="229" t="s">
        <v>311</v>
      </c>
      <c r="H3" s="255" t="s">
        <v>448</v>
      </c>
      <c r="I3" s="234" t="s">
        <v>452</v>
      </c>
    </row>
    <row r="4" spans="1:9" ht="34.799999999999997" customHeight="1" x14ac:dyDescent="0.3">
      <c r="A4" s="244"/>
      <c r="B4" s="234"/>
      <c r="C4" s="235"/>
      <c r="D4" s="234"/>
      <c r="E4" s="230"/>
      <c r="F4" s="230"/>
      <c r="G4" s="230"/>
      <c r="H4" s="256"/>
      <c r="I4" s="234"/>
    </row>
    <row r="5" spans="1:9" x14ac:dyDescent="0.3">
      <c r="A5" s="63">
        <v>1</v>
      </c>
      <c r="B5" s="37" t="s">
        <v>51</v>
      </c>
      <c r="C5" s="37" t="s">
        <v>88</v>
      </c>
      <c r="D5" s="44" t="s">
        <v>159</v>
      </c>
      <c r="E5" s="44" t="s">
        <v>442</v>
      </c>
      <c r="F5" s="45">
        <v>1</v>
      </c>
      <c r="G5" s="62" t="s">
        <v>313</v>
      </c>
      <c r="H5" s="80" t="s">
        <v>222</v>
      </c>
      <c r="I5" s="251" t="s">
        <v>222</v>
      </c>
    </row>
    <row r="6" spans="1:9" x14ac:dyDescent="0.3">
      <c r="A6" s="63">
        <v>2</v>
      </c>
      <c r="B6" s="37" t="s">
        <v>52</v>
      </c>
      <c r="C6" s="37" t="s">
        <v>88</v>
      </c>
      <c r="D6" s="44" t="s">
        <v>159</v>
      </c>
      <c r="E6" s="44" t="s">
        <v>442</v>
      </c>
      <c r="F6" s="45">
        <v>1</v>
      </c>
      <c r="G6" s="62" t="s">
        <v>313</v>
      </c>
      <c r="H6" s="80" t="s">
        <v>222</v>
      </c>
      <c r="I6" s="253"/>
    </row>
    <row r="7" spans="1:9" x14ac:dyDescent="0.3">
      <c r="A7" s="63">
        <v>3</v>
      </c>
      <c r="B7" s="37" t="s">
        <v>53</v>
      </c>
      <c r="C7" s="37" t="s">
        <v>88</v>
      </c>
      <c r="D7" s="44" t="s">
        <v>159</v>
      </c>
      <c r="E7" s="44" t="s">
        <v>442</v>
      </c>
      <c r="F7" s="45">
        <v>1</v>
      </c>
      <c r="G7" s="62" t="s">
        <v>313</v>
      </c>
      <c r="H7" s="80" t="s">
        <v>222</v>
      </c>
      <c r="I7" s="253"/>
    </row>
    <row r="8" spans="1:9" x14ac:dyDescent="0.3">
      <c r="A8" s="63">
        <v>4</v>
      </c>
      <c r="B8" s="37" t="s">
        <v>277</v>
      </c>
      <c r="C8" s="37" t="s">
        <v>88</v>
      </c>
      <c r="D8" s="44" t="s">
        <v>159</v>
      </c>
      <c r="E8" s="44" t="s">
        <v>442</v>
      </c>
      <c r="F8" s="45">
        <v>1</v>
      </c>
      <c r="G8" s="62" t="s">
        <v>313</v>
      </c>
      <c r="H8" s="80" t="s">
        <v>222</v>
      </c>
      <c r="I8" s="252"/>
    </row>
    <row r="9" spans="1:9" x14ac:dyDescent="0.3">
      <c r="A9" s="63">
        <v>5</v>
      </c>
      <c r="B9" s="37" t="s">
        <v>370</v>
      </c>
      <c r="C9" s="37" t="s">
        <v>38</v>
      </c>
      <c r="D9" s="44" t="s">
        <v>160</v>
      </c>
      <c r="E9" s="44" t="s">
        <v>449</v>
      </c>
      <c r="F9" s="45">
        <v>1</v>
      </c>
      <c r="G9" s="62" t="s">
        <v>313</v>
      </c>
      <c r="H9" s="80" t="s">
        <v>222</v>
      </c>
      <c r="I9" s="251" t="s">
        <v>222</v>
      </c>
    </row>
    <row r="10" spans="1:9" x14ac:dyDescent="0.3">
      <c r="A10" s="63">
        <v>6</v>
      </c>
      <c r="B10" s="37" t="s">
        <v>58</v>
      </c>
      <c r="C10" s="37" t="s">
        <v>38</v>
      </c>
      <c r="D10" s="44" t="s">
        <v>160</v>
      </c>
      <c r="E10" s="44" t="s">
        <v>449</v>
      </c>
      <c r="F10" s="45">
        <v>1</v>
      </c>
      <c r="G10" s="62" t="s">
        <v>313</v>
      </c>
      <c r="H10" s="80" t="s">
        <v>222</v>
      </c>
      <c r="I10" s="253"/>
    </row>
    <row r="11" spans="1:9" x14ac:dyDescent="0.3">
      <c r="A11" s="63">
        <v>7</v>
      </c>
      <c r="B11" s="37" t="s">
        <v>241</v>
      </c>
      <c r="C11" s="37" t="s">
        <v>38</v>
      </c>
      <c r="D11" s="44" t="s">
        <v>160</v>
      </c>
      <c r="E11" s="44" t="s">
        <v>449</v>
      </c>
      <c r="F11" s="45">
        <v>1</v>
      </c>
      <c r="G11" s="62" t="s">
        <v>313</v>
      </c>
      <c r="H11" s="80" t="s">
        <v>222</v>
      </c>
      <c r="I11" s="252"/>
    </row>
    <row r="12" spans="1:9" x14ac:dyDescent="0.3">
      <c r="A12" s="63">
        <v>8</v>
      </c>
      <c r="B12" s="37" t="s">
        <v>233</v>
      </c>
      <c r="C12" s="37" t="s">
        <v>88</v>
      </c>
      <c r="D12" s="44" t="s">
        <v>161</v>
      </c>
      <c r="E12" s="44" t="s">
        <v>449</v>
      </c>
      <c r="F12" s="45">
        <v>1</v>
      </c>
      <c r="G12" s="62" t="s">
        <v>313</v>
      </c>
      <c r="H12" s="80" t="s">
        <v>222</v>
      </c>
      <c r="I12" s="251" t="s">
        <v>222</v>
      </c>
    </row>
    <row r="13" spans="1:9" x14ac:dyDescent="0.3">
      <c r="A13" s="63">
        <v>9</v>
      </c>
      <c r="B13" s="37" t="s">
        <v>45</v>
      </c>
      <c r="C13" s="37" t="s">
        <v>38</v>
      </c>
      <c r="D13" s="44" t="s">
        <v>161</v>
      </c>
      <c r="E13" s="44" t="s">
        <v>449</v>
      </c>
      <c r="F13" s="45">
        <v>1</v>
      </c>
      <c r="G13" s="62" t="s">
        <v>313</v>
      </c>
      <c r="H13" s="80" t="s">
        <v>222</v>
      </c>
      <c r="I13" s="253"/>
    </row>
    <row r="14" spans="1:9" x14ac:dyDescent="0.3">
      <c r="A14" s="63">
        <v>10</v>
      </c>
      <c r="B14" s="37" t="s">
        <v>361</v>
      </c>
      <c r="C14" s="37" t="s">
        <v>38</v>
      </c>
      <c r="D14" s="44" t="s">
        <v>161</v>
      </c>
      <c r="E14" s="44" t="s">
        <v>449</v>
      </c>
      <c r="F14" s="45">
        <v>1</v>
      </c>
      <c r="G14" s="62" t="s">
        <v>313</v>
      </c>
      <c r="H14" s="80" t="s">
        <v>222</v>
      </c>
      <c r="I14" s="253"/>
    </row>
    <row r="15" spans="1:9" x14ac:dyDescent="0.3">
      <c r="A15" s="63">
        <v>11</v>
      </c>
      <c r="B15" s="37" t="s">
        <v>362</v>
      </c>
      <c r="C15" s="37" t="s">
        <v>38</v>
      </c>
      <c r="D15" s="44" t="s">
        <v>161</v>
      </c>
      <c r="E15" s="44" t="s">
        <v>449</v>
      </c>
      <c r="F15" s="45">
        <v>1</v>
      </c>
      <c r="G15" s="62" t="s">
        <v>313</v>
      </c>
      <c r="H15" s="80" t="s">
        <v>222</v>
      </c>
      <c r="I15" s="253"/>
    </row>
    <row r="16" spans="1:9" x14ac:dyDescent="0.3">
      <c r="A16" s="63">
        <v>12</v>
      </c>
      <c r="B16" s="37" t="s">
        <v>46</v>
      </c>
      <c r="C16" s="37" t="s">
        <v>38</v>
      </c>
      <c r="D16" s="44" t="s">
        <v>161</v>
      </c>
      <c r="E16" s="44" t="s">
        <v>449</v>
      </c>
      <c r="F16" s="45">
        <v>1</v>
      </c>
      <c r="G16" s="62" t="s">
        <v>313</v>
      </c>
      <c r="H16" s="80" t="s">
        <v>222</v>
      </c>
      <c r="I16" s="253"/>
    </row>
    <row r="17" spans="1:9" x14ac:dyDescent="0.3">
      <c r="A17" s="63">
        <v>13</v>
      </c>
      <c r="B17" s="37" t="s">
        <v>47</v>
      </c>
      <c r="C17" s="37" t="s">
        <v>88</v>
      </c>
      <c r="D17" s="44" t="s">
        <v>161</v>
      </c>
      <c r="E17" s="44" t="s">
        <v>449</v>
      </c>
      <c r="F17" s="45">
        <v>1</v>
      </c>
      <c r="G17" s="62" t="s">
        <v>313</v>
      </c>
      <c r="H17" s="80" t="s">
        <v>222</v>
      </c>
      <c r="I17" s="252"/>
    </row>
    <row r="18" spans="1:9" x14ac:dyDescent="0.3">
      <c r="A18" s="63">
        <v>14</v>
      </c>
      <c r="B18" s="37" t="s">
        <v>105</v>
      </c>
      <c r="C18" s="37" t="s">
        <v>38</v>
      </c>
      <c r="D18" s="44" t="s">
        <v>148</v>
      </c>
      <c r="E18" s="44" t="s">
        <v>449</v>
      </c>
      <c r="F18" s="45">
        <v>1</v>
      </c>
      <c r="G18" s="62" t="s">
        <v>313</v>
      </c>
      <c r="H18" s="80" t="s">
        <v>222</v>
      </c>
      <c r="I18" s="251" t="s">
        <v>222</v>
      </c>
    </row>
    <row r="19" spans="1:9" x14ac:dyDescent="0.3">
      <c r="A19" s="63">
        <v>15</v>
      </c>
      <c r="B19" s="37" t="s">
        <v>139</v>
      </c>
      <c r="C19" s="37" t="s">
        <v>38</v>
      </c>
      <c r="D19" s="44" t="s">
        <v>148</v>
      </c>
      <c r="E19" s="44" t="s">
        <v>449</v>
      </c>
      <c r="F19" s="45">
        <v>1</v>
      </c>
      <c r="G19" s="62" t="s">
        <v>313</v>
      </c>
      <c r="H19" s="80" t="s">
        <v>222</v>
      </c>
      <c r="I19" s="253"/>
    </row>
    <row r="20" spans="1:9" x14ac:dyDescent="0.3">
      <c r="A20" s="63">
        <v>16</v>
      </c>
      <c r="B20" s="37" t="s">
        <v>90</v>
      </c>
      <c r="C20" s="37" t="s">
        <v>38</v>
      </c>
      <c r="D20" s="44" t="s">
        <v>148</v>
      </c>
      <c r="E20" s="44" t="s">
        <v>449</v>
      </c>
      <c r="F20" s="45">
        <v>1</v>
      </c>
      <c r="G20" s="62" t="s">
        <v>313</v>
      </c>
      <c r="H20" s="80" t="s">
        <v>222</v>
      </c>
      <c r="I20" s="253"/>
    </row>
    <row r="21" spans="1:9" x14ac:dyDescent="0.3">
      <c r="A21" s="63">
        <v>17</v>
      </c>
      <c r="B21" s="37" t="s">
        <v>401</v>
      </c>
      <c r="C21" s="37" t="s">
        <v>38</v>
      </c>
      <c r="D21" s="44" t="s">
        <v>148</v>
      </c>
      <c r="E21" s="44" t="s">
        <v>449</v>
      </c>
      <c r="F21" s="45">
        <v>1</v>
      </c>
      <c r="G21" s="62" t="s">
        <v>313</v>
      </c>
      <c r="H21" s="80" t="s">
        <v>222</v>
      </c>
      <c r="I21" s="252"/>
    </row>
    <row r="22" spans="1:9" x14ac:dyDescent="0.3">
      <c r="A22" s="63">
        <v>18</v>
      </c>
      <c r="B22" s="37" t="s">
        <v>85</v>
      </c>
      <c r="C22" s="37" t="s">
        <v>88</v>
      </c>
      <c r="D22" s="44" t="s">
        <v>164</v>
      </c>
      <c r="E22" s="44" t="s">
        <v>442</v>
      </c>
      <c r="F22" s="45">
        <v>1</v>
      </c>
      <c r="G22" s="62" t="s">
        <v>313</v>
      </c>
      <c r="H22" s="80" t="s">
        <v>222</v>
      </c>
      <c r="I22" s="90" t="s">
        <v>222</v>
      </c>
    </row>
    <row r="23" spans="1:9" x14ac:dyDescent="0.3">
      <c r="A23" s="63">
        <v>19</v>
      </c>
      <c r="B23" s="37" t="s">
        <v>109</v>
      </c>
      <c r="C23" s="37" t="s">
        <v>88</v>
      </c>
      <c r="D23" s="44" t="s">
        <v>147</v>
      </c>
      <c r="E23" s="44" t="s">
        <v>443</v>
      </c>
      <c r="F23" s="45">
        <v>1</v>
      </c>
      <c r="G23" s="62" t="s">
        <v>313</v>
      </c>
      <c r="H23" s="80" t="s">
        <v>313</v>
      </c>
      <c r="I23" s="251" t="s">
        <v>391</v>
      </c>
    </row>
    <row r="24" spans="1:9" x14ac:dyDescent="0.3">
      <c r="A24" s="63">
        <v>20</v>
      </c>
      <c r="B24" s="37" t="s">
        <v>110</v>
      </c>
      <c r="C24" s="37" t="s">
        <v>88</v>
      </c>
      <c r="D24" s="44" t="s">
        <v>147</v>
      </c>
      <c r="E24" s="44" t="s">
        <v>443</v>
      </c>
      <c r="F24" s="45">
        <v>1</v>
      </c>
      <c r="G24" s="62" t="s">
        <v>313</v>
      </c>
      <c r="H24" s="80" t="s">
        <v>313</v>
      </c>
      <c r="I24" s="252"/>
    </row>
    <row r="25" spans="1:9" x14ac:dyDescent="0.3">
      <c r="A25" s="63">
        <v>21</v>
      </c>
      <c r="B25" s="37" t="s">
        <v>369</v>
      </c>
      <c r="C25" s="37" t="s">
        <v>38</v>
      </c>
      <c r="D25" s="44" t="s">
        <v>153</v>
      </c>
      <c r="E25" s="44" t="s">
        <v>449</v>
      </c>
      <c r="F25" s="45">
        <v>1</v>
      </c>
      <c r="G25" s="62" t="s">
        <v>313</v>
      </c>
      <c r="H25" s="80" t="s">
        <v>222</v>
      </c>
      <c r="I25" s="251" t="s">
        <v>222</v>
      </c>
    </row>
    <row r="26" spans="1:9" x14ac:dyDescent="0.3">
      <c r="A26" s="63">
        <v>22</v>
      </c>
      <c r="B26" s="37" t="s">
        <v>65</v>
      </c>
      <c r="C26" s="37" t="s">
        <v>38</v>
      </c>
      <c r="D26" s="44" t="s">
        <v>153</v>
      </c>
      <c r="E26" s="44" t="s">
        <v>449</v>
      </c>
      <c r="F26" s="45">
        <v>1</v>
      </c>
      <c r="G26" s="62" t="s">
        <v>313</v>
      </c>
      <c r="H26" s="80" t="s">
        <v>222</v>
      </c>
      <c r="I26" s="253"/>
    </row>
    <row r="27" spans="1:9" x14ac:dyDescent="0.3">
      <c r="A27" s="63">
        <v>23</v>
      </c>
      <c r="B27" s="37" t="s">
        <v>341</v>
      </c>
      <c r="C27" s="37" t="s">
        <v>38</v>
      </c>
      <c r="D27" s="44" t="s">
        <v>153</v>
      </c>
      <c r="E27" s="44" t="s">
        <v>449</v>
      </c>
      <c r="F27" s="45">
        <v>1</v>
      </c>
      <c r="G27" s="62"/>
      <c r="H27" s="80" t="s">
        <v>222</v>
      </c>
      <c r="I27" s="252"/>
    </row>
    <row r="28" spans="1:9" x14ac:dyDescent="0.3">
      <c r="A28" s="63">
        <v>24</v>
      </c>
      <c r="B28" s="37" t="s">
        <v>89</v>
      </c>
      <c r="C28" s="37" t="s">
        <v>38</v>
      </c>
      <c r="D28" s="44" t="s">
        <v>157</v>
      </c>
      <c r="E28" s="44" t="s">
        <v>442</v>
      </c>
      <c r="F28" s="45">
        <v>1</v>
      </c>
      <c r="G28" s="62" t="s">
        <v>313</v>
      </c>
      <c r="H28" s="80" t="s">
        <v>222</v>
      </c>
      <c r="I28" s="90" t="s">
        <v>222</v>
      </c>
    </row>
    <row r="29" spans="1:9" x14ac:dyDescent="0.3">
      <c r="A29" s="63">
        <v>25</v>
      </c>
      <c r="B29" s="37" t="s">
        <v>340</v>
      </c>
      <c r="C29" s="37" t="s">
        <v>88</v>
      </c>
      <c r="D29" s="44" t="s">
        <v>149</v>
      </c>
      <c r="E29" s="44" t="s">
        <v>442</v>
      </c>
      <c r="F29" s="45">
        <v>1</v>
      </c>
      <c r="G29" s="62" t="s">
        <v>313</v>
      </c>
      <c r="H29" s="80" t="s">
        <v>222</v>
      </c>
      <c r="I29" s="251" t="s">
        <v>222</v>
      </c>
    </row>
    <row r="30" spans="1:9" x14ac:dyDescent="0.3">
      <c r="A30" s="63">
        <v>26</v>
      </c>
      <c r="B30" s="37" t="s">
        <v>91</v>
      </c>
      <c r="C30" s="37" t="s">
        <v>88</v>
      </c>
      <c r="D30" s="44" t="s">
        <v>149</v>
      </c>
      <c r="E30" s="44" t="s">
        <v>442</v>
      </c>
      <c r="F30" s="45">
        <v>1</v>
      </c>
      <c r="G30" s="62" t="s">
        <v>313</v>
      </c>
      <c r="H30" s="80" t="s">
        <v>222</v>
      </c>
      <c r="I30" s="252"/>
    </row>
    <row r="31" spans="1:9" x14ac:dyDescent="0.3">
      <c r="A31" s="63">
        <v>27</v>
      </c>
      <c r="B31" s="37" t="s">
        <v>97</v>
      </c>
      <c r="C31" s="37" t="s">
        <v>38</v>
      </c>
      <c r="D31" s="44" t="s">
        <v>167</v>
      </c>
      <c r="E31" s="44" t="s">
        <v>442</v>
      </c>
      <c r="F31" s="45">
        <v>1</v>
      </c>
      <c r="G31" s="62" t="s">
        <v>313</v>
      </c>
      <c r="H31" s="80" t="s">
        <v>222</v>
      </c>
      <c r="I31" s="90" t="s">
        <v>222</v>
      </c>
    </row>
    <row r="32" spans="1:9" x14ac:dyDescent="0.3">
      <c r="A32" s="63">
        <v>28</v>
      </c>
      <c r="B32" s="37" t="s">
        <v>274</v>
      </c>
      <c r="C32" s="37" t="s">
        <v>38</v>
      </c>
      <c r="D32" s="44" t="s">
        <v>172</v>
      </c>
      <c r="E32" s="44" t="s">
        <v>442</v>
      </c>
      <c r="F32" s="45">
        <v>1</v>
      </c>
      <c r="G32" s="62" t="s">
        <v>313</v>
      </c>
      <c r="H32" s="80" t="s">
        <v>222</v>
      </c>
      <c r="I32" s="251" t="s">
        <v>222</v>
      </c>
    </row>
    <row r="33" spans="1:9" x14ac:dyDescent="0.3">
      <c r="A33" s="63">
        <v>29</v>
      </c>
      <c r="B33" s="37" t="s">
        <v>273</v>
      </c>
      <c r="C33" s="37" t="s">
        <v>38</v>
      </c>
      <c r="D33" s="44" t="s">
        <v>172</v>
      </c>
      <c r="E33" s="44" t="s">
        <v>442</v>
      </c>
      <c r="F33" s="45">
        <v>1</v>
      </c>
      <c r="G33" s="62" t="s">
        <v>313</v>
      </c>
      <c r="H33" s="80" t="s">
        <v>222</v>
      </c>
      <c r="I33" s="252"/>
    </row>
    <row r="34" spans="1:9" x14ac:dyDescent="0.3">
      <c r="A34" s="63">
        <v>30</v>
      </c>
      <c r="B34" s="37" t="s">
        <v>96</v>
      </c>
      <c r="C34" s="37" t="s">
        <v>38</v>
      </c>
      <c r="D34" s="44" t="s">
        <v>151</v>
      </c>
      <c r="E34" s="44" t="s">
        <v>442</v>
      </c>
      <c r="F34" s="45">
        <v>1</v>
      </c>
      <c r="G34" s="62" t="s">
        <v>313</v>
      </c>
      <c r="H34" s="80" t="s">
        <v>222</v>
      </c>
      <c r="I34" s="90" t="s">
        <v>222</v>
      </c>
    </row>
    <row r="35" spans="1:9" x14ac:dyDescent="0.3">
      <c r="A35" s="63">
        <v>31</v>
      </c>
      <c r="B35" s="37" t="s">
        <v>135</v>
      </c>
      <c r="C35" s="37" t="s">
        <v>38</v>
      </c>
      <c r="D35" s="44" t="s">
        <v>146</v>
      </c>
      <c r="E35" s="44" t="s">
        <v>442</v>
      </c>
      <c r="F35" s="45">
        <v>1</v>
      </c>
      <c r="G35" s="62" t="s">
        <v>313</v>
      </c>
      <c r="H35" s="80" t="s">
        <v>222</v>
      </c>
      <c r="I35" s="90" t="s">
        <v>222</v>
      </c>
    </row>
    <row r="36" spans="1:9" x14ac:dyDescent="0.3">
      <c r="A36" s="63">
        <v>32</v>
      </c>
      <c r="B36" s="37" t="s">
        <v>188</v>
      </c>
      <c r="C36" s="37" t="s">
        <v>38</v>
      </c>
      <c r="D36" s="44" t="s">
        <v>187</v>
      </c>
      <c r="E36" s="44" t="s">
        <v>442</v>
      </c>
      <c r="F36" s="45">
        <v>1</v>
      </c>
      <c r="G36" s="62" t="s">
        <v>313</v>
      </c>
      <c r="H36" s="80" t="s">
        <v>222</v>
      </c>
      <c r="I36" s="90" t="s">
        <v>222</v>
      </c>
    </row>
    <row r="37" spans="1:9" x14ac:dyDescent="0.3">
      <c r="A37" s="63">
        <v>33</v>
      </c>
      <c r="B37" s="37" t="s">
        <v>193</v>
      </c>
      <c r="C37" s="37" t="s">
        <v>88</v>
      </c>
      <c r="D37" s="44" t="s">
        <v>192</v>
      </c>
      <c r="E37" s="44" t="s">
        <v>442</v>
      </c>
      <c r="F37" s="45">
        <v>1</v>
      </c>
      <c r="G37" s="62" t="s">
        <v>313</v>
      </c>
      <c r="H37" s="80" t="s">
        <v>222</v>
      </c>
      <c r="I37" s="90" t="s">
        <v>391</v>
      </c>
    </row>
    <row r="38" spans="1:9" x14ac:dyDescent="0.3">
      <c r="A38" s="63">
        <v>34</v>
      </c>
      <c r="B38" s="37" t="s">
        <v>63</v>
      </c>
      <c r="C38" s="37" t="s">
        <v>57</v>
      </c>
      <c r="D38" s="44" t="s">
        <v>195</v>
      </c>
      <c r="E38" s="44" t="s">
        <v>442</v>
      </c>
      <c r="F38" s="45">
        <v>1</v>
      </c>
      <c r="G38" s="62" t="s">
        <v>313</v>
      </c>
      <c r="H38" s="80" t="s">
        <v>222</v>
      </c>
      <c r="I38" s="90" t="s">
        <v>222</v>
      </c>
    </row>
    <row r="39" spans="1:9" x14ac:dyDescent="0.3">
      <c r="A39" s="63">
        <v>35</v>
      </c>
      <c r="B39" s="37" t="s">
        <v>291</v>
      </c>
      <c r="C39" s="37" t="s">
        <v>88</v>
      </c>
      <c r="D39" s="55" t="s">
        <v>140</v>
      </c>
      <c r="E39" s="55" t="s">
        <v>442</v>
      </c>
      <c r="F39" s="45">
        <v>1</v>
      </c>
      <c r="G39" s="62" t="s">
        <v>313</v>
      </c>
      <c r="H39" s="80" t="s">
        <v>222</v>
      </c>
      <c r="I39" s="90" t="s">
        <v>222</v>
      </c>
    </row>
    <row r="40" spans="1:9" x14ac:dyDescent="0.3">
      <c r="A40" s="63">
        <v>36</v>
      </c>
      <c r="B40" s="37" t="s">
        <v>124</v>
      </c>
      <c r="C40" s="37" t="s">
        <v>38</v>
      </c>
      <c r="D40" s="55" t="s">
        <v>179</v>
      </c>
      <c r="E40" s="55" t="s">
        <v>442</v>
      </c>
      <c r="F40" s="45">
        <v>1</v>
      </c>
      <c r="G40" s="62" t="s">
        <v>313</v>
      </c>
      <c r="H40" s="80" t="s">
        <v>222</v>
      </c>
      <c r="I40" s="90" t="s">
        <v>391</v>
      </c>
    </row>
    <row r="41" spans="1:9" x14ac:dyDescent="0.3">
      <c r="A41" s="63">
        <v>37</v>
      </c>
      <c r="B41" s="37" t="s">
        <v>178</v>
      </c>
      <c r="C41" s="37" t="s">
        <v>38</v>
      </c>
      <c r="D41" s="44" t="s">
        <v>177</v>
      </c>
      <c r="E41" s="44" t="s">
        <v>442</v>
      </c>
      <c r="F41" s="45">
        <v>1</v>
      </c>
      <c r="G41" s="62" t="s">
        <v>313</v>
      </c>
      <c r="H41" s="80" t="s">
        <v>222</v>
      </c>
      <c r="I41" s="251" t="s">
        <v>391</v>
      </c>
    </row>
    <row r="42" spans="1:9" x14ac:dyDescent="0.3">
      <c r="A42" s="63">
        <v>38</v>
      </c>
      <c r="B42" s="37" t="s">
        <v>176</v>
      </c>
      <c r="C42" s="37" t="s">
        <v>38</v>
      </c>
      <c r="D42" s="44" t="s">
        <v>177</v>
      </c>
      <c r="E42" s="44" t="s">
        <v>442</v>
      </c>
      <c r="F42" s="45">
        <v>1</v>
      </c>
      <c r="G42" s="62" t="s">
        <v>313</v>
      </c>
      <c r="H42" s="80" t="s">
        <v>222</v>
      </c>
      <c r="I42" s="252"/>
    </row>
    <row r="43" spans="1:9" x14ac:dyDescent="0.3">
      <c r="A43" s="63">
        <v>39</v>
      </c>
      <c r="B43" s="37" t="s">
        <v>292</v>
      </c>
      <c r="C43" s="37" t="s">
        <v>88</v>
      </c>
      <c r="D43" s="55" t="s">
        <v>293</v>
      </c>
      <c r="E43" s="55" t="s">
        <v>442</v>
      </c>
      <c r="F43" s="45">
        <v>1</v>
      </c>
      <c r="G43" s="62" t="s">
        <v>313</v>
      </c>
      <c r="H43" s="80" t="s">
        <v>222</v>
      </c>
      <c r="I43" s="90" t="s">
        <v>391</v>
      </c>
    </row>
    <row r="44" spans="1:9" x14ac:dyDescent="0.3">
      <c r="A44" s="63">
        <v>40</v>
      </c>
      <c r="B44" s="37" t="s">
        <v>317</v>
      </c>
      <c r="C44" s="37" t="s">
        <v>88</v>
      </c>
      <c r="D44" s="55" t="s">
        <v>315</v>
      </c>
      <c r="E44" s="55" t="s">
        <v>449</v>
      </c>
      <c r="F44" s="45">
        <v>1</v>
      </c>
      <c r="G44" s="62" t="s">
        <v>313</v>
      </c>
      <c r="H44" s="80" t="s">
        <v>222</v>
      </c>
      <c r="I44" s="251" t="s">
        <v>222</v>
      </c>
    </row>
    <row r="45" spans="1:9" x14ac:dyDescent="0.3">
      <c r="A45" s="63">
        <v>41</v>
      </c>
      <c r="B45" s="37" t="s">
        <v>318</v>
      </c>
      <c r="C45" s="37" t="s">
        <v>88</v>
      </c>
      <c r="D45" s="55" t="s">
        <v>315</v>
      </c>
      <c r="E45" s="55" t="s">
        <v>449</v>
      </c>
      <c r="F45" s="45">
        <v>1</v>
      </c>
      <c r="G45" s="62" t="s">
        <v>313</v>
      </c>
      <c r="H45" s="80" t="s">
        <v>222</v>
      </c>
      <c r="I45" s="252"/>
    </row>
    <row r="46" spans="1:9" x14ac:dyDescent="0.3">
      <c r="A46" s="63">
        <v>42</v>
      </c>
      <c r="B46" s="37" t="s">
        <v>319</v>
      </c>
      <c r="C46" s="37" t="s">
        <v>88</v>
      </c>
      <c r="D46" s="55" t="s">
        <v>316</v>
      </c>
      <c r="E46" s="55" t="s">
        <v>442</v>
      </c>
      <c r="F46" s="45">
        <v>1</v>
      </c>
      <c r="G46" s="62" t="s">
        <v>313</v>
      </c>
      <c r="H46" s="80" t="s">
        <v>222</v>
      </c>
      <c r="I46" s="90" t="s">
        <v>222</v>
      </c>
    </row>
    <row r="47" spans="1:9" x14ac:dyDescent="0.3">
      <c r="A47" s="63">
        <v>43</v>
      </c>
      <c r="B47" s="37" t="s">
        <v>337</v>
      </c>
      <c r="C47" s="37" t="s">
        <v>38</v>
      </c>
      <c r="D47" s="55" t="s">
        <v>168</v>
      </c>
      <c r="E47" s="55" t="s">
        <v>442</v>
      </c>
      <c r="F47" s="45">
        <v>1</v>
      </c>
      <c r="G47" s="62" t="s">
        <v>313</v>
      </c>
      <c r="H47" s="80" t="s">
        <v>222</v>
      </c>
      <c r="I47" s="90" t="s">
        <v>222</v>
      </c>
    </row>
    <row r="48" spans="1:9" x14ac:dyDescent="0.3">
      <c r="A48" s="63">
        <v>44</v>
      </c>
      <c r="B48" s="37" t="s">
        <v>444</v>
      </c>
      <c r="C48" s="37" t="s">
        <v>88</v>
      </c>
      <c r="D48" s="55" t="s">
        <v>437</v>
      </c>
      <c r="E48" s="55" t="s">
        <v>442</v>
      </c>
      <c r="F48" s="45">
        <v>1</v>
      </c>
      <c r="G48" s="62">
        <v>200</v>
      </c>
      <c r="H48" s="80" t="s">
        <v>222</v>
      </c>
      <c r="I48" s="90" t="s">
        <v>222</v>
      </c>
    </row>
    <row r="49" spans="1:9" x14ac:dyDescent="0.3">
      <c r="A49" s="63">
        <v>45</v>
      </c>
      <c r="B49" s="37" t="s">
        <v>387</v>
      </c>
      <c r="C49" s="37" t="s">
        <v>38</v>
      </c>
      <c r="D49" s="55" t="s">
        <v>349</v>
      </c>
      <c r="E49" s="55" t="s">
        <v>442</v>
      </c>
      <c r="F49" s="45">
        <v>1</v>
      </c>
      <c r="G49" s="62">
        <v>200</v>
      </c>
      <c r="H49" s="80" t="s">
        <v>222</v>
      </c>
      <c r="I49" s="90" t="s">
        <v>222</v>
      </c>
    </row>
    <row r="50" spans="1:9" x14ac:dyDescent="0.3">
      <c r="A50" s="63">
        <v>46</v>
      </c>
      <c r="B50" s="37" t="s">
        <v>423</v>
      </c>
      <c r="C50" s="37" t="s">
        <v>88</v>
      </c>
      <c r="D50" s="55" t="s">
        <v>390</v>
      </c>
      <c r="E50" s="55" t="s">
        <v>442</v>
      </c>
      <c r="F50" s="45">
        <v>1</v>
      </c>
      <c r="G50" s="62">
        <v>100</v>
      </c>
      <c r="H50" s="80" t="s">
        <v>222</v>
      </c>
      <c r="I50" s="251" t="s">
        <v>222</v>
      </c>
    </row>
    <row r="51" spans="1:9" x14ac:dyDescent="0.3">
      <c r="A51" s="63">
        <v>47</v>
      </c>
      <c r="B51" s="37" t="s">
        <v>403</v>
      </c>
      <c r="C51" s="37" t="s">
        <v>38</v>
      </c>
      <c r="D51" s="55" t="s">
        <v>390</v>
      </c>
      <c r="E51" s="55" t="s">
        <v>442</v>
      </c>
      <c r="F51" s="45">
        <v>1</v>
      </c>
      <c r="G51" s="62">
        <v>100</v>
      </c>
      <c r="H51" s="80" t="s">
        <v>222</v>
      </c>
      <c r="I51" s="253"/>
    </row>
    <row r="52" spans="1:9" x14ac:dyDescent="0.3">
      <c r="A52" s="63">
        <v>48</v>
      </c>
      <c r="B52" s="37" t="s">
        <v>426</v>
      </c>
      <c r="C52" s="37" t="s">
        <v>88</v>
      </c>
      <c r="D52" s="55" t="s">
        <v>152</v>
      </c>
      <c r="E52" s="55" t="s">
        <v>445</v>
      </c>
      <c r="F52" s="45">
        <v>1</v>
      </c>
      <c r="G52" s="62" t="s">
        <v>313</v>
      </c>
      <c r="H52" s="80" t="s">
        <v>222</v>
      </c>
      <c r="I52" s="251" t="s">
        <v>222</v>
      </c>
    </row>
    <row r="53" spans="1:9" x14ac:dyDescent="0.3">
      <c r="A53" s="63">
        <v>49</v>
      </c>
      <c r="B53" s="37" t="s">
        <v>425</v>
      </c>
      <c r="C53" s="37" t="s">
        <v>88</v>
      </c>
      <c r="D53" s="55" t="s">
        <v>152</v>
      </c>
      <c r="E53" s="55" t="s">
        <v>445</v>
      </c>
      <c r="F53" s="45">
        <v>1</v>
      </c>
      <c r="G53" s="62" t="s">
        <v>313</v>
      </c>
      <c r="H53" s="80" t="s">
        <v>222</v>
      </c>
      <c r="I53" s="252"/>
    </row>
    <row r="54" spans="1:9" x14ac:dyDescent="0.3">
      <c r="A54" s="63">
        <v>50</v>
      </c>
      <c r="B54" s="37" t="s">
        <v>386</v>
      </c>
      <c r="C54" s="37" t="s">
        <v>88</v>
      </c>
      <c r="D54" s="55" t="s">
        <v>349</v>
      </c>
      <c r="E54" s="100" t="s">
        <v>442</v>
      </c>
      <c r="F54" s="46">
        <v>1</v>
      </c>
      <c r="G54" s="62">
        <v>200</v>
      </c>
      <c r="H54" s="80" t="s">
        <v>222</v>
      </c>
      <c r="I54" s="90" t="s">
        <v>222</v>
      </c>
    </row>
    <row r="55" spans="1:9" x14ac:dyDescent="0.3">
      <c r="A55" s="63">
        <v>51</v>
      </c>
      <c r="B55" s="37" t="s">
        <v>458</v>
      </c>
      <c r="C55" s="37" t="s">
        <v>88</v>
      </c>
      <c r="D55" s="55" t="s">
        <v>349</v>
      </c>
      <c r="E55" s="100" t="s">
        <v>442</v>
      </c>
      <c r="F55" s="46">
        <v>1</v>
      </c>
      <c r="G55" s="62">
        <v>200</v>
      </c>
      <c r="H55" s="80" t="s">
        <v>222</v>
      </c>
      <c r="I55" s="90" t="s">
        <v>222</v>
      </c>
    </row>
    <row r="56" spans="1:9" x14ac:dyDescent="0.3">
      <c r="A56" s="63">
        <v>52</v>
      </c>
      <c r="B56" s="37" t="s">
        <v>460</v>
      </c>
      <c r="C56" s="37" t="s">
        <v>38</v>
      </c>
      <c r="D56" s="55" t="s">
        <v>459</v>
      </c>
      <c r="E56" s="100" t="s">
        <v>442</v>
      </c>
      <c r="F56" s="46">
        <v>1</v>
      </c>
      <c r="G56" s="62">
        <v>300</v>
      </c>
      <c r="H56" s="80" t="s">
        <v>222</v>
      </c>
      <c r="I56" s="90" t="s">
        <v>222</v>
      </c>
    </row>
    <row r="57" spans="1:9" x14ac:dyDescent="0.3">
      <c r="A57" s="63">
        <v>53</v>
      </c>
      <c r="B57" s="37" t="s">
        <v>512</v>
      </c>
      <c r="C57" s="37" t="s">
        <v>88</v>
      </c>
      <c r="D57" s="55" t="s">
        <v>511</v>
      </c>
      <c r="E57" s="100"/>
      <c r="F57" s="46">
        <v>1</v>
      </c>
      <c r="G57" s="62"/>
      <c r="H57" s="80"/>
      <c r="I57" s="90"/>
    </row>
    <row r="58" spans="1:9" x14ac:dyDescent="0.3">
      <c r="A58" s="63">
        <v>54</v>
      </c>
      <c r="B58" s="37" t="s">
        <v>466</v>
      </c>
      <c r="C58" s="37" t="s">
        <v>88</v>
      </c>
      <c r="D58" s="100" t="s">
        <v>467</v>
      </c>
      <c r="E58" s="100"/>
      <c r="F58" s="46">
        <v>2</v>
      </c>
      <c r="G58" s="141"/>
      <c r="H58" s="142"/>
      <c r="I58" s="90"/>
    </row>
    <row r="59" spans="1:9" x14ac:dyDescent="0.3">
      <c r="A59" s="63">
        <v>55</v>
      </c>
      <c r="B59" s="37" t="s">
        <v>523</v>
      </c>
      <c r="C59" s="37" t="s">
        <v>38</v>
      </c>
      <c r="D59" s="100" t="s">
        <v>467</v>
      </c>
      <c r="E59" s="100"/>
      <c r="F59" s="46">
        <v>1</v>
      </c>
      <c r="G59" s="141"/>
      <c r="H59" s="142"/>
      <c r="I59" s="90"/>
    </row>
    <row r="60" spans="1:9" x14ac:dyDescent="0.3">
      <c r="A60" s="63">
        <v>56</v>
      </c>
      <c r="B60" s="37" t="s">
        <v>525</v>
      </c>
      <c r="C60" s="37" t="s">
        <v>88</v>
      </c>
      <c r="D60" s="100" t="s">
        <v>468</v>
      </c>
      <c r="E60" s="100"/>
      <c r="F60" s="46">
        <v>1</v>
      </c>
      <c r="G60" s="141"/>
      <c r="H60" s="142"/>
      <c r="I60" s="90"/>
    </row>
    <row r="61" spans="1:9" x14ac:dyDescent="0.3">
      <c r="A61" s="63">
        <v>57</v>
      </c>
      <c r="B61" s="37" t="s">
        <v>524</v>
      </c>
      <c r="C61" s="37" t="s">
        <v>88</v>
      </c>
      <c r="D61" s="100" t="s">
        <v>468</v>
      </c>
      <c r="E61" s="100"/>
      <c r="F61" s="46">
        <v>1</v>
      </c>
      <c r="G61" s="141"/>
      <c r="H61" s="142"/>
      <c r="I61" s="90"/>
    </row>
    <row r="62" spans="1:9" x14ac:dyDescent="0.3">
      <c r="A62" s="63">
        <v>58</v>
      </c>
      <c r="B62" s="37" t="s">
        <v>482</v>
      </c>
      <c r="C62" s="37" t="s">
        <v>88</v>
      </c>
      <c r="D62" s="44" t="s">
        <v>480</v>
      </c>
      <c r="E62" s="100"/>
      <c r="F62" s="46">
        <v>1</v>
      </c>
      <c r="G62" s="141"/>
      <c r="H62" s="142"/>
      <c r="I62" s="90"/>
    </row>
    <row r="63" spans="1:9" x14ac:dyDescent="0.3">
      <c r="A63" s="63">
        <v>59</v>
      </c>
      <c r="B63" s="37"/>
      <c r="C63" s="37" t="s">
        <v>38</v>
      </c>
      <c r="D63" s="44" t="s">
        <v>172</v>
      </c>
      <c r="E63" s="100"/>
      <c r="F63" s="46">
        <v>1</v>
      </c>
      <c r="G63" s="141"/>
      <c r="H63" s="142"/>
      <c r="I63" s="90"/>
    </row>
    <row r="64" spans="1:9" ht="16.2" thickBot="1" x14ac:dyDescent="0.35">
      <c r="A64" s="241" t="s">
        <v>527</v>
      </c>
      <c r="B64" s="242"/>
      <c r="C64" s="242"/>
      <c r="D64" s="243"/>
      <c r="E64" s="99"/>
      <c r="F64" s="65">
        <f>SUM(F5:F63)</f>
        <v>60</v>
      </c>
      <c r="G64" s="103">
        <f>SUM(G39:G57)</f>
        <v>1300</v>
      </c>
      <c r="H64" s="104"/>
      <c r="I64" s="90"/>
    </row>
    <row r="66" spans="2:5" x14ac:dyDescent="0.3">
      <c r="B66" s="228"/>
      <c r="C66" s="228"/>
      <c r="D66" s="228"/>
      <c r="E66" s="228"/>
    </row>
  </sheetData>
  <autoFilter ref="I1:I64" xr:uid="{9A3D5DBE-63A1-4026-8A6A-AA55EAD2C7D5}"/>
  <mergeCells count="24">
    <mergeCell ref="I44:I45"/>
    <mergeCell ref="A2:I2"/>
    <mergeCell ref="I5:I8"/>
    <mergeCell ref="I9:I11"/>
    <mergeCell ref="I12:I17"/>
    <mergeCell ref="F3:F4"/>
    <mergeCell ref="G3:G4"/>
    <mergeCell ref="H3:H4"/>
    <mergeCell ref="B66:E66"/>
    <mergeCell ref="I52:I53"/>
    <mergeCell ref="I50:I51"/>
    <mergeCell ref="A64:D64"/>
    <mergeCell ref="E3:E4"/>
    <mergeCell ref="A3:A4"/>
    <mergeCell ref="B3:B4"/>
    <mergeCell ref="C3:C4"/>
    <mergeCell ref="D3:D4"/>
    <mergeCell ref="I3:I4"/>
    <mergeCell ref="I18:I21"/>
    <mergeCell ref="I23:I24"/>
    <mergeCell ref="I25:I27"/>
    <mergeCell ref="I29:I30"/>
    <mergeCell ref="I32:I33"/>
    <mergeCell ref="I41:I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67"/>
  <sheetViews>
    <sheetView topLeftCell="A437" zoomScale="70" zoomScaleNormal="70" workbookViewId="0">
      <selection activeCell="U458" sqref="U458"/>
    </sheetView>
  </sheetViews>
  <sheetFormatPr defaultColWidth="9.109375" defaultRowHeight="15" x14ac:dyDescent="0.3"/>
  <cols>
    <col min="1" max="1" width="2.109375" style="1" customWidth="1"/>
    <col min="2" max="2" width="6.5546875" style="1" bestFit="1" customWidth="1"/>
    <col min="3" max="3" width="19" style="16" customWidth="1"/>
    <col min="4" max="4" width="78.6640625" style="1" bestFit="1" customWidth="1"/>
    <col min="5" max="5" width="19.109375" style="1" customWidth="1"/>
    <col min="6" max="6" width="11.33203125" style="22" customWidth="1"/>
    <col min="7" max="7" width="11.6640625" style="1" customWidth="1"/>
    <col min="8" max="8" width="15.88671875" style="1" customWidth="1"/>
    <col min="9" max="9" width="16.5546875" style="1" customWidth="1"/>
    <col min="10" max="10" width="18.6640625" style="1" customWidth="1"/>
    <col min="11" max="11" width="13.6640625" style="1" customWidth="1"/>
    <col min="12" max="12" width="14" style="1" customWidth="1"/>
    <col min="13" max="13" width="14.33203125" style="1" customWidth="1"/>
    <col min="14" max="14" width="15.109375" style="1" customWidth="1"/>
    <col min="15" max="15" width="18.6640625" style="1" customWidth="1"/>
    <col min="16" max="18" width="16.109375" style="1" customWidth="1"/>
    <col min="19" max="19" width="18.44140625" style="1" customWidth="1"/>
    <col min="20" max="16384" width="9.109375" style="1"/>
  </cols>
  <sheetData>
    <row r="2" spans="2:19" ht="31.2" x14ac:dyDescent="0.3">
      <c r="B2" s="260" t="s">
        <v>0</v>
      </c>
      <c r="C2" s="260" t="s">
        <v>1</v>
      </c>
      <c r="D2" s="260" t="s">
        <v>17</v>
      </c>
      <c r="E2" s="260"/>
      <c r="F2" s="260"/>
      <c r="G2" s="260"/>
      <c r="H2" s="260" t="s">
        <v>9</v>
      </c>
      <c r="I2" s="260"/>
      <c r="J2" s="8" t="s">
        <v>77</v>
      </c>
      <c r="K2" s="261" t="s">
        <v>13</v>
      </c>
      <c r="L2" s="262"/>
      <c r="M2" s="261" t="s">
        <v>14</v>
      </c>
      <c r="N2" s="262"/>
      <c r="O2" s="8" t="s">
        <v>15</v>
      </c>
      <c r="P2" s="8" t="s">
        <v>101</v>
      </c>
      <c r="Q2" s="8" t="s">
        <v>103</v>
      </c>
      <c r="R2" s="8" t="s">
        <v>104</v>
      </c>
      <c r="S2" s="8" t="s">
        <v>131</v>
      </c>
    </row>
    <row r="3" spans="2:19" ht="15.6" x14ac:dyDescent="0.3">
      <c r="B3" s="260"/>
      <c r="C3" s="260"/>
      <c r="D3" s="260"/>
      <c r="E3" s="260"/>
      <c r="F3" s="260"/>
      <c r="G3" s="260"/>
      <c r="H3" s="13" t="s">
        <v>7</v>
      </c>
      <c r="I3" s="13" t="s">
        <v>8</v>
      </c>
      <c r="J3" s="14" t="s">
        <v>8</v>
      </c>
      <c r="K3" s="26">
        <v>45901</v>
      </c>
      <c r="L3" s="26">
        <v>45992</v>
      </c>
      <c r="M3" s="26">
        <v>45931</v>
      </c>
      <c r="N3" s="30">
        <v>45992</v>
      </c>
      <c r="O3" s="30">
        <v>45992</v>
      </c>
      <c r="P3" s="30">
        <v>45992</v>
      </c>
      <c r="Q3" s="30"/>
      <c r="R3" s="30"/>
      <c r="S3" s="30"/>
    </row>
    <row r="4" spans="2:19" ht="15.6" x14ac:dyDescent="0.3">
      <c r="B4" s="263">
        <v>1</v>
      </c>
      <c r="C4" s="264" t="s">
        <v>18</v>
      </c>
      <c r="D4" s="265" t="s">
        <v>2</v>
      </c>
      <c r="E4" s="265"/>
      <c r="F4" s="265"/>
      <c r="G4" s="265"/>
      <c r="H4" s="4"/>
      <c r="I4" s="266">
        <v>1000</v>
      </c>
      <c r="J4" s="267">
        <v>1500</v>
      </c>
      <c r="K4" s="11"/>
      <c r="L4" s="11"/>
      <c r="M4" s="11"/>
      <c r="N4" s="10"/>
      <c r="O4" s="10"/>
      <c r="P4" s="10"/>
      <c r="Q4" s="10"/>
      <c r="R4" s="10"/>
      <c r="S4" s="10"/>
    </row>
    <row r="5" spans="2:19" ht="15.6" x14ac:dyDescent="0.3">
      <c r="B5" s="263"/>
      <c r="C5" s="264"/>
      <c r="D5" s="23" t="s">
        <v>3</v>
      </c>
      <c r="E5" s="23" t="s">
        <v>4</v>
      </c>
      <c r="F5" s="24" t="s">
        <v>5</v>
      </c>
      <c r="G5" s="23" t="s">
        <v>6</v>
      </c>
      <c r="H5" s="23"/>
      <c r="I5" s="266"/>
      <c r="J5" s="267"/>
      <c r="K5" s="31"/>
      <c r="L5" s="31"/>
      <c r="M5" s="31"/>
      <c r="N5" s="27"/>
      <c r="O5" s="27"/>
      <c r="P5" s="27"/>
      <c r="Q5" s="27"/>
      <c r="R5" s="27"/>
      <c r="S5" s="27"/>
    </row>
    <row r="6" spans="2:19" x14ac:dyDescent="0.3">
      <c r="B6" s="263"/>
      <c r="C6" s="264"/>
      <c r="D6" s="5" t="s">
        <v>51</v>
      </c>
      <c r="E6" s="5" t="s">
        <v>34</v>
      </c>
      <c r="F6" s="21">
        <v>300</v>
      </c>
      <c r="G6" s="5"/>
      <c r="H6" s="6">
        <v>14</v>
      </c>
      <c r="I6" s="266"/>
      <c r="J6" s="267"/>
      <c r="K6" s="11"/>
      <c r="L6" s="11">
        <v>4</v>
      </c>
      <c r="M6" s="11">
        <v>1</v>
      </c>
      <c r="N6" s="10">
        <v>5</v>
      </c>
      <c r="O6" s="10">
        <v>4</v>
      </c>
      <c r="P6" s="10"/>
      <c r="Q6" s="10"/>
      <c r="R6" s="10"/>
      <c r="S6" s="10"/>
    </row>
    <row r="7" spans="2:19" ht="15.6" x14ac:dyDescent="0.3">
      <c r="B7" s="263"/>
      <c r="C7" s="264"/>
      <c r="D7" s="265" t="s">
        <v>10</v>
      </c>
      <c r="E7" s="265"/>
      <c r="F7" s="265"/>
      <c r="G7" s="265"/>
      <c r="H7" s="6"/>
      <c r="I7" s="266"/>
      <c r="J7" s="267"/>
      <c r="K7" s="11"/>
      <c r="L7" s="11"/>
      <c r="M7" s="11"/>
      <c r="N7" s="10"/>
      <c r="O7" s="10"/>
      <c r="P7" s="10"/>
      <c r="Q7" s="10"/>
      <c r="R7" s="10"/>
      <c r="S7" s="10"/>
    </row>
    <row r="8" spans="2:19" ht="15.6" x14ac:dyDescent="0.3">
      <c r="B8" s="263"/>
      <c r="C8" s="264"/>
      <c r="D8" s="23" t="s">
        <v>3</v>
      </c>
      <c r="E8" s="23" t="s">
        <v>4</v>
      </c>
      <c r="F8" s="24" t="s">
        <v>5</v>
      </c>
      <c r="G8" s="23" t="s">
        <v>6</v>
      </c>
      <c r="H8" s="27"/>
      <c r="I8" s="266"/>
      <c r="J8" s="267"/>
      <c r="K8" s="31"/>
      <c r="L8" s="31"/>
      <c r="M8" s="31"/>
      <c r="N8" s="27"/>
      <c r="O8" s="27"/>
      <c r="P8" s="27"/>
      <c r="Q8" s="27"/>
      <c r="R8" s="27"/>
      <c r="S8" s="27"/>
    </row>
    <row r="9" spans="2:19" x14ac:dyDescent="0.3">
      <c r="B9" s="263"/>
      <c r="C9" s="264"/>
      <c r="D9" s="5" t="s">
        <v>52</v>
      </c>
      <c r="E9" s="5" t="s">
        <v>35</v>
      </c>
      <c r="F9" s="21">
        <v>600</v>
      </c>
      <c r="G9" s="5"/>
      <c r="H9" s="6">
        <v>10</v>
      </c>
      <c r="I9" s="266"/>
      <c r="J9" s="267"/>
      <c r="K9" s="11"/>
      <c r="L9" s="11"/>
      <c r="M9" s="11"/>
      <c r="N9" s="10"/>
      <c r="O9" s="10"/>
      <c r="P9" s="10"/>
      <c r="Q9" s="10"/>
      <c r="R9" s="10"/>
      <c r="S9" s="10"/>
    </row>
    <row r="10" spans="2:19" ht="15.6" x14ac:dyDescent="0.3">
      <c r="B10" s="263"/>
      <c r="C10" s="264"/>
      <c r="D10" s="265" t="s">
        <v>11</v>
      </c>
      <c r="E10" s="265"/>
      <c r="F10" s="265"/>
      <c r="G10" s="265"/>
      <c r="H10" s="6"/>
      <c r="I10" s="266"/>
      <c r="J10" s="267"/>
      <c r="K10" s="11"/>
      <c r="L10" s="11"/>
      <c r="M10" s="11"/>
      <c r="N10" s="10"/>
      <c r="O10" s="10"/>
      <c r="P10" s="10"/>
      <c r="Q10" s="10"/>
      <c r="R10" s="10"/>
      <c r="S10" s="10"/>
    </row>
    <row r="11" spans="2:19" ht="15.6" x14ac:dyDescent="0.3">
      <c r="B11" s="263"/>
      <c r="C11" s="264"/>
      <c r="D11" s="23" t="s">
        <v>3</v>
      </c>
      <c r="E11" s="23" t="s">
        <v>4</v>
      </c>
      <c r="F11" s="24" t="s">
        <v>5</v>
      </c>
      <c r="G11" s="23" t="s">
        <v>6</v>
      </c>
      <c r="H11" s="27"/>
      <c r="I11" s="266"/>
      <c r="J11" s="267"/>
      <c r="K11" s="31"/>
      <c r="L11" s="31"/>
      <c r="M11" s="31"/>
      <c r="N11" s="27"/>
      <c r="O11" s="27"/>
      <c r="P11" s="27"/>
      <c r="Q11" s="27"/>
      <c r="R11" s="27"/>
      <c r="S11" s="27"/>
    </row>
    <row r="12" spans="2:19" x14ac:dyDescent="0.3">
      <c r="B12" s="263"/>
      <c r="C12" s="264"/>
      <c r="D12" s="5" t="s">
        <v>53</v>
      </c>
      <c r="E12" s="5" t="s">
        <v>34</v>
      </c>
      <c r="F12" s="21">
        <v>400</v>
      </c>
      <c r="G12" s="5"/>
      <c r="H12" s="6">
        <v>6</v>
      </c>
      <c r="I12" s="266"/>
      <c r="J12" s="267"/>
      <c r="K12" s="11"/>
      <c r="L12" s="11">
        <v>1</v>
      </c>
      <c r="M12" s="11"/>
      <c r="N12" s="10">
        <v>5</v>
      </c>
      <c r="O12" s="10"/>
      <c r="P12" s="10"/>
      <c r="Q12" s="10"/>
      <c r="R12" s="10"/>
      <c r="S12" s="10"/>
    </row>
    <row r="13" spans="2:19" ht="15.6" x14ac:dyDescent="0.3">
      <c r="B13" s="263"/>
      <c r="C13" s="264"/>
      <c r="D13" s="265" t="s">
        <v>12</v>
      </c>
      <c r="E13" s="265"/>
      <c r="F13" s="265"/>
      <c r="G13" s="265"/>
      <c r="H13" s="6"/>
      <c r="I13" s="266"/>
      <c r="J13" s="267"/>
      <c r="K13" s="11"/>
      <c r="L13" s="11"/>
      <c r="M13" s="11"/>
      <c r="N13" s="10"/>
      <c r="O13" s="10"/>
      <c r="P13" s="10"/>
      <c r="Q13" s="10"/>
      <c r="R13" s="10"/>
      <c r="S13" s="10"/>
    </row>
    <row r="14" spans="2:19" ht="15.6" x14ac:dyDescent="0.3">
      <c r="B14" s="263"/>
      <c r="C14" s="264"/>
      <c r="D14" s="23" t="s">
        <v>3</v>
      </c>
      <c r="E14" s="23" t="s">
        <v>4</v>
      </c>
      <c r="F14" s="24" t="s">
        <v>5</v>
      </c>
      <c r="G14" s="23" t="s">
        <v>6</v>
      </c>
      <c r="H14" s="27"/>
      <c r="I14" s="266"/>
      <c r="J14" s="267"/>
      <c r="K14" s="31"/>
      <c r="L14" s="31"/>
      <c r="M14" s="31"/>
      <c r="N14" s="27"/>
      <c r="O14" s="27"/>
      <c r="P14" s="27"/>
      <c r="Q14" s="27"/>
      <c r="R14" s="27"/>
      <c r="S14" s="27"/>
    </row>
    <row r="15" spans="2:19" x14ac:dyDescent="0.3">
      <c r="B15" s="263"/>
      <c r="C15" s="264"/>
      <c r="D15" s="5" t="s">
        <v>54</v>
      </c>
      <c r="E15" s="5" t="s">
        <v>35</v>
      </c>
      <c r="F15" s="21">
        <v>425</v>
      </c>
      <c r="G15" s="5"/>
      <c r="H15" s="6">
        <v>9</v>
      </c>
      <c r="I15" s="266"/>
      <c r="J15" s="267"/>
      <c r="K15" s="11"/>
      <c r="L15" s="11">
        <v>1</v>
      </c>
      <c r="M15" s="11">
        <v>1</v>
      </c>
      <c r="N15" s="10">
        <v>5</v>
      </c>
      <c r="O15" s="10"/>
      <c r="P15" s="10"/>
      <c r="Q15" s="10"/>
      <c r="R15" s="10"/>
      <c r="S15" s="10"/>
    </row>
    <row r="16" spans="2:19" ht="31.2" x14ac:dyDescent="0.3">
      <c r="B16" s="7"/>
      <c r="C16" s="15"/>
      <c r="D16" s="260" t="s">
        <v>17</v>
      </c>
      <c r="E16" s="260"/>
      <c r="F16" s="260"/>
      <c r="G16" s="260"/>
      <c r="H16" s="260" t="s">
        <v>9</v>
      </c>
      <c r="I16" s="260"/>
      <c r="J16" s="8"/>
      <c r="K16" s="261" t="s">
        <v>13</v>
      </c>
      <c r="L16" s="262"/>
      <c r="M16" s="261" t="s">
        <v>14</v>
      </c>
      <c r="N16" s="262"/>
      <c r="O16" s="8" t="s">
        <v>15</v>
      </c>
      <c r="P16" s="8" t="s">
        <v>101</v>
      </c>
      <c r="Q16" s="8" t="s">
        <v>103</v>
      </c>
      <c r="R16" s="8" t="s">
        <v>104</v>
      </c>
      <c r="S16" s="8" t="s">
        <v>131</v>
      </c>
    </row>
    <row r="17" spans="2:19" ht="15.6" x14ac:dyDescent="0.3">
      <c r="B17" s="7"/>
      <c r="C17" s="15"/>
      <c r="D17" s="260"/>
      <c r="E17" s="260"/>
      <c r="F17" s="260"/>
      <c r="G17" s="260"/>
      <c r="H17" s="13" t="s">
        <v>7</v>
      </c>
      <c r="I17" s="13" t="s">
        <v>8</v>
      </c>
      <c r="J17" s="14" t="s">
        <v>8</v>
      </c>
      <c r="K17" s="26">
        <v>45901</v>
      </c>
      <c r="L17" s="26">
        <v>45992</v>
      </c>
      <c r="M17" s="26">
        <v>45931</v>
      </c>
      <c r="N17" s="30">
        <v>45992</v>
      </c>
      <c r="O17" s="30">
        <v>45992</v>
      </c>
      <c r="P17" s="30">
        <v>45992</v>
      </c>
      <c r="Q17" s="30"/>
      <c r="R17" s="30"/>
      <c r="S17" s="30"/>
    </row>
    <row r="18" spans="2:19" ht="15.6" x14ac:dyDescent="0.3">
      <c r="B18" s="263">
        <v>2</v>
      </c>
      <c r="C18" s="264" t="s">
        <v>19</v>
      </c>
      <c r="D18" s="265" t="s">
        <v>2</v>
      </c>
      <c r="E18" s="265"/>
      <c r="F18" s="265"/>
      <c r="G18" s="265"/>
      <c r="H18" s="6"/>
      <c r="I18" s="268"/>
      <c r="J18" s="270">
        <v>1000</v>
      </c>
      <c r="K18" s="11"/>
      <c r="L18" s="11"/>
      <c r="M18" s="11"/>
      <c r="N18" s="10"/>
      <c r="O18" s="10"/>
      <c r="P18" s="10"/>
      <c r="Q18" s="10"/>
      <c r="R18" s="10"/>
      <c r="S18" s="10"/>
    </row>
    <row r="19" spans="2:19" ht="15.6" x14ac:dyDescent="0.3">
      <c r="B19" s="263"/>
      <c r="C19" s="264"/>
      <c r="D19" s="23" t="s">
        <v>3</v>
      </c>
      <c r="E19" s="23" t="s">
        <v>4</v>
      </c>
      <c r="F19" s="24" t="s">
        <v>5</v>
      </c>
      <c r="G19" s="23" t="s">
        <v>6</v>
      </c>
      <c r="H19" s="27"/>
      <c r="I19" s="269"/>
      <c r="J19" s="271"/>
      <c r="K19" s="31"/>
      <c r="L19" s="31"/>
      <c r="M19" s="31"/>
      <c r="N19" s="27"/>
      <c r="O19" s="27"/>
      <c r="P19" s="27"/>
      <c r="Q19" s="27"/>
      <c r="R19" s="27"/>
      <c r="S19" s="27"/>
    </row>
    <row r="20" spans="2:19" ht="15.6" x14ac:dyDescent="0.3">
      <c r="B20" s="263"/>
      <c r="C20" s="264"/>
      <c r="D20" s="5" t="s">
        <v>37</v>
      </c>
      <c r="E20" s="5" t="s">
        <v>38</v>
      </c>
      <c r="F20" s="21">
        <v>145</v>
      </c>
      <c r="G20" s="5"/>
      <c r="H20" s="4"/>
      <c r="I20" s="269"/>
      <c r="J20" s="271"/>
      <c r="K20" s="11"/>
      <c r="L20" s="11"/>
      <c r="M20" s="11"/>
      <c r="N20" s="10"/>
      <c r="O20" s="10"/>
      <c r="P20" s="10"/>
      <c r="Q20" s="10"/>
      <c r="R20" s="10"/>
      <c r="S20" s="10"/>
    </row>
    <row r="21" spans="2:19" ht="15.6" x14ac:dyDescent="0.3">
      <c r="B21" s="263"/>
      <c r="C21" s="264"/>
      <c r="D21" s="265" t="s">
        <v>10</v>
      </c>
      <c r="E21" s="265"/>
      <c r="F21" s="265"/>
      <c r="G21" s="265"/>
      <c r="H21" s="4"/>
      <c r="I21" s="269"/>
      <c r="J21" s="271"/>
      <c r="K21" s="11"/>
      <c r="L21" s="11"/>
      <c r="M21" s="11"/>
      <c r="N21" s="10"/>
      <c r="O21" s="10"/>
      <c r="P21" s="10"/>
      <c r="Q21" s="10"/>
      <c r="R21" s="10"/>
      <c r="S21" s="10"/>
    </row>
    <row r="22" spans="2:19" ht="15.6" x14ac:dyDescent="0.3">
      <c r="B22" s="263"/>
      <c r="C22" s="264"/>
      <c r="D22" s="23" t="s">
        <v>3</v>
      </c>
      <c r="E22" s="23" t="s">
        <v>4</v>
      </c>
      <c r="F22" s="24" t="s">
        <v>5</v>
      </c>
      <c r="G22" s="23" t="s">
        <v>6</v>
      </c>
      <c r="H22" s="27"/>
      <c r="I22" s="269"/>
      <c r="J22" s="271"/>
      <c r="K22" s="31"/>
      <c r="L22" s="31"/>
      <c r="M22" s="31"/>
      <c r="N22" s="27"/>
      <c r="O22" s="27"/>
      <c r="P22" s="27"/>
      <c r="Q22" s="27"/>
      <c r="R22" s="27"/>
      <c r="S22" s="27"/>
    </row>
    <row r="23" spans="2:19" x14ac:dyDescent="0.3">
      <c r="B23" s="263"/>
      <c r="C23" s="264"/>
      <c r="D23" s="5" t="s">
        <v>39</v>
      </c>
      <c r="E23" s="5" t="s">
        <v>38</v>
      </c>
      <c r="F23" s="21">
        <v>275</v>
      </c>
      <c r="G23" s="5"/>
      <c r="H23" s="6"/>
      <c r="I23" s="269"/>
      <c r="J23" s="271"/>
      <c r="K23" s="11"/>
      <c r="L23" s="11"/>
      <c r="M23" s="11"/>
      <c r="N23" s="10"/>
      <c r="O23" s="10"/>
      <c r="P23" s="10"/>
      <c r="Q23" s="10"/>
      <c r="R23" s="10"/>
      <c r="S23" s="10"/>
    </row>
    <row r="24" spans="2:19" ht="15.6" x14ac:dyDescent="0.3">
      <c r="B24" s="263"/>
      <c r="C24" s="264"/>
      <c r="D24" s="265" t="s">
        <v>11</v>
      </c>
      <c r="E24" s="265"/>
      <c r="F24" s="265"/>
      <c r="G24" s="265"/>
      <c r="H24" s="6"/>
      <c r="I24" s="269"/>
      <c r="J24" s="271"/>
      <c r="K24" s="11"/>
      <c r="L24" s="11"/>
      <c r="M24" s="11"/>
      <c r="N24" s="10"/>
      <c r="O24" s="10"/>
      <c r="P24" s="10"/>
      <c r="Q24" s="10"/>
      <c r="R24" s="10"/>
      <c r="S24" s="10"/>
    </row>
    <row r="25" spans="2:19" ht="15.6" x14ac:dyDescent="0.3">
      <c r="B25" s="263"/>
      <c r="C25" s="264"/>
      <c r="D25" s="23" t="s">
        <v>3</v>
      </c>
      <c r="E25" s="23" t="s">
        <v>4</v>
      </c>
      <c r="F25" s="24" t="s">
        <v>5</v>
      </c>
      <c r="G25" s="23" t="s">
        <v>6</v>
      </c>
      <c r="H25" s="23"/>
      <c r="I25" s="269"/>
      <c r="J25" s="271"/>
      <c r="K25" s="31"/>
      <c r="L25" s="31"/>
      <c r="M25" s="31"/>
      <c r="N25" s="27"/>
      <c r="O25" s="27"/>
      <c r="P25" s="27"/>
      <c r="Q25" s="27"/>
      <c r="R25" s="27"/>
      <c r="S25" s="27"/>
    </row>
    <row r="26" spans="2:19" x14ac:dyDescent="0.3">
      <c r="B26" s="263"/>
      <c r="C26" s="264"/>
      <c r="D26" s="5" t="s">
        <v>40</v>
      </c>
      <c r="E26" s="5" t="s">
        <v>41</v>
      </c>
      <c r="F26" s="21">
        <v>200</v>
      </c>
      <c r="G26" s="5"/>
      <c r="H26" s="6"/>
      <c r="I26" s="269"/>
      <c r="J26" s="271"/>
      <c r="K26" s="11">
        <v>2</v>
      </c>
      <c r="L26" s="11"/>
      <c r="M26" s="11"/>
      <c r="N26" s="10"/>
      <c r="O26" s="10"/>
      <c r="P26" s="10"/>
      <c r="Q26" s="10"/>
      <c r="R26" s="10"/>
      <c r="S26" s="10"/>
    </row>
    <row r="27" spans="2:19" ht="15.6" x14ac:dyDescent="0.3">
      <c r="B27" s="263"/>
      <c r="C27" s="264"/>
      <c r="D27" s="265" t="s">
        <v>12</v>
      </c>
      <c r="E27" s="265"/>
      <c r="F27" s="265"/>
      <c r="G27" s="265"/>
      <c r="H27" s="6"/>
      <c r="I27" s="269"/>
      <c r="J27" s="271"/>
      <c r="K27" s="11"/>
      <c r="L27" s="11"/>
      <c r="M27" s="11"/>
      <c r="N27" s="10"/>
      <c r="O27" s="10"/>
      <c r="P27" s="10"/>
      <c r="Q27" s="10"/>
      <c r="R27" s="10"/>
      <c r="S27" s="10"/>
    </row>
    <row r="28" spans="2:19" ht="15.6" x14ac:dyDescent="0.3">
      <c r="B28" s="263"/>
      <c r="C28" s="264"/>
      <c r="D28" s="23" t="s">
        <v>3</v>
      </c>
      <c r="E28" s="23" t="s">
        <v>4</v>
      </c>
      <c r="F28" s="24" t="s">
        <v>5</v>
      </c>
      <c r="G28" s="23" t="s">
        <v>6</v>
      </c>
      <c r="H28" s="27"/>
      <c r="I28" s="269"/>
      <c r="J28" s="271"/>
      <c r="K28" s="31"/>
      <c r="L28" s="31"/>
      <c r="M28" s="31"/>
      <c r="N28" s="27"/>
      <c r="O28" s="27"/>
      <c r="P28" s="27"/>
      <c r="Q28" s="27"/>
      <c r="R28" s="27"/>
      <c r="S28" s="27"/>
    </row>
    <row r="29" spans="2:19" x14ac:dyDescent="0.3">
      <c r="B29" s="263"/>
      <c r="C29" s="264"/>
      <c r="D29" s="5" t="s">
        <v>42</v>
      </c>
      <c r="E29" s="5" t="s">
        <v>41</v>
      </c>
      <c r="F29" s="21">
        <v>450</v>
      </c>
      <c r="G29" s="5"/>
      <c r="H29" s="6"/>
      <c r="I29" s="269"/>
      <c r="J29" s="271"/>
      <c r="K29" s="11"/>
      <c r="L29" s="11"/>
      <c r="M29" s="11"/>
      <c r="N29" s="10"/>
      <c r="O29" s="10"/>
      <c r="P29" s="10"/>
      <c r="Q29" s="10"/>
      <c r="R29" s="10"/>
      <c r="S29" s="10"/>
    </row>
    <row r="30" spans="2:19" ht="15.6" x14ac:dyDescent="0.3">
      <c r="B30" s="263"/>
      <c r="C30" s="264"/>
      <c r="D30" s="265" t="s">
        <v>36</v>
      </c>
      <c r="E30" s="265"/>
      <c r="F30" s="265"/>
      <c r="G30" s="265"/>
      <c r="H30" s="6"/>
      <c r="I30" s="269"/>
      <c r="J30" s="271"/>
      <c r="K30" s="11"/>
      <c r="L30" s="11"/>
      <c r="M30" s="11"/>
      <c r="N30" s="10"/>
      <c r="O30" s="10"/>
      <c r="P30" s="10"/>
      <c r="Q30" s="10"/>
      <c r="R30" s="10"/>
      <c r="S30" s="10"/>
    </row>
    <row r="31" spans="2:19" ht="15.6" x14ac:dyDescent="0.3">
      <c r="B31" s="263"/>
      <c r="C31" s="264"/>
      <c r="D31" s="23" t="s">
        <v>3</v>
      </c>
      <c r="E31" s="23" t="s">
        <v>4</v>
      </c>
      <c r="F31" s="24" t="s">
        <v>5</v>
      </c>
      <c r="G31" s="23" t="s">
        <v>6</v>
      </c>
      <c r="H31" s="27"/>
      <c r="I31" s="269"/>
      <c r="J31" s="271"/>
      <c r="K31" s="31"/>
      <c r="L31" s="31"/>
      <c r="M31" s="31"/>
      <c r="N31" s="27"/>
      <c r="O31" s="27"/>
      <c r="P31" s="27"/>
      <c r="Q31" s="27"/>
      <c r="R31" s="27"/>
      <c r="S31" s="27"/>
    </row>
    <row r="32" spans="2:19" x14ac:dyDescent="0.3">
      <c r="B32" s="263"/>
      <c r="C32" s="264"/>
      <c r="D32" s="5" t="s">
        <v>43</v>
      </c>
      <c r="E32" s="5" t="s">
        <v>38</v>
      </c>
      <c r="F32" s="21">
        <v>275</v>
      </c>
      <c r="G32" s="5"/>
      <c r="H32" s="6"/>
      <c r="I32" s="269"/>
      <c r="J32" s="271"/>
      <c r="K32" s="11">
        <v>2</v>
      </c>
      <c r="L32" s="11"/>
      <c r="M32" s="11"/>
      <c r="N32" s="10"/>
      <c r="O32" s="10"/>
      <c r="P32" s="10"/>
      <c r="Q32" s="10"/>
      <c r="R32" s="10"/>
      <c r="S32" s="10"/>
    </row>
    <row r="33" spans="2:19" ht="15.6" x14ac:dyDescent="0.3">
      <c r="B33" s="263"/>
      <c r="C33" s="264"/>
      <c r="D33" s="2"/>
      <c r="E33" s="2"/>
      <c r="F33" s="20"/>
      <c r="G33" s="2"/>
      <c r="H33" s="4"/>
      <c r="I33" s="273"/>
      <c r="J33" s="272"/>
      <c r="K33" s="11"/>
      <c r="L33" s="11"/>
      <c r="M33" s="11"/>
      <c r="N33" s="10"/>
      <c r="O33" s="10"/>
      <c r="P33" s="10"/>
      <c r="Q33" s="10"/>
      <c r="R33" s="10"/>
      <c r="S33" s="10"/>
    </row>
    <row r="34" spans="2:19" ht="31.2" x14ac:dyDescent="0.3">
      <c r="B34" s="7"/>
      <c r="C34" s="15"/>
      <c r="D34" s="260" t="s">
        <v>17</v>
      </c>
      <c r="E34" s="260"/>
      <c r="F34" s="260"/>
      <c r="G34" s="260"/>
      <c r="H34" s="260" t="s">
        <v>9</v>
      </c>
      <c r="I34" s="260"/>
      <c r="J34" s="8"/>
      <c r="K34" s="261" t="s">
        <v>13</v>
      </c>
      <c r="L34" s="262"/>
      <c r="M34" s="261" t="s">
        <v>14</v>
      </c>
      <c r="N34" s="262"/>
      <c r="O34" s="8" t="s">
        <v>15</v>
      </c>
      <c r="P34" s="8" t="s">
        <v>101</v>
      </c>
      <c r="Q34" s="8" t="s">
        <v>103</v>
      </c>
      <c r="R34" s="8" t="s">
        <v>104</v>
      </c>
      <c r="S34" s="8" t="s">
        <v>131</v>
      </c>
    </row>
    <row r="35" spans="2:19" ht="15.6" x14ac:dyDescent="0.3">
      <c r="B35" s="7"/>
      <c r="C35" s="15"/>
      <c r="D35" s="260"/>
      <c r="E35" s="260"/>
      <c r="F35" s="260"/>
      <c r="G35" s="260"/>
      <c r="H35" s="4" t="s">
        <v>7</v>
      </c>
      <c r="I35" s="4" t="s">
        <v>8</v>
      </c>
      <c r="J35" s="3" t="s">
        <v>8</v>
      </c>
      <c r="K35" s="26">
        <v>45901</v>
      </c>
      <c r="L35" s="26">
        <v>45992</v>
      </c>
      <c r="M35" s="26">
        <v>45931</v>
      </c>
      <c r="N35" s="30">
        <v>45992</v>
      </c>
      <c r="O35" s="30">
        <v>45992</v>
      </c>
      <c r="P35" s="30">
        <v>45992</v>
      </c>
      <c r="Q35" s="30"/>
      <c r="R35" s="30"/>
      <c r="S35" s="30"/>
    </row>
    <row r="36" spans="2:19" ht="15.6" x14ac:dyDescent="0.3">
      <c r="B36" s="263">
        <v>3</v>
      </c>
      <c r="C36" s="264" t="s">
        <v>20</v>
      </c>
      <c r="D36" s="265" t="s">
        <v>2</v>
      </c>
      <c r="E36" s="265"/>
      <c r="F36" s="265"/>
      <c r="G36" s="265"/>
      <c r="H36" s="6"/>
      <c r="I36" s="268">
        <v>1000</v>
      </c>
      <c r="J36" s="270">
        <v>1500</v>
      </c>
      <c r="K36" s="28"/>
      <c r="L36" s="11"/>
      <c r="M36" s="11"/>
      <c r="N36" s="10"/>
      <c r="O36" s="10"/>
      <c r="P36" s="10"/>
      <c r="Q36" s="10"/>
      <c r="R36" s="10"/>
      <c r="S36" s="10"/>
    </row>
    <row r="37" spans="2:19" ht="15.6" x14ac:dyDescent="0.3">
      <c r="B37" s="263"/>
      <c r="C37" s="264"/>
      <c r="D37" s="23" t="s">
        <v>3</v>
      </c>
      <c r="E37" s="23" t="s">
        <v>4</v>
      </c>
      <c r="F37" s="24" t="s">
        <v>5</v>
      </c>
      <c r="G37" s="23" t="s">
        <v>6</v>
      </c>
      <c r="H37" s="27"/>
      <c r="I37" s="269"/>
      <c r="J37" s="271"/>
      <c r="K37" s="32"/>
      <c r="L37" s="31"/>
      <c r="M37" s="31"/>
      <c r="N37" s="27"/>
      <c r="O37" s="27"/>
      <c r="P37" s="27"/>
      <c r="Q37" s="27"/>
      <c r="R37" s="27"/>
      <c r="S37" s="27"/>
    </row>
    <row r="38" spans="2:19" x14ac:dyDescent="0.3">
      <c r="B38" s="263"/>
      <c r="C38" s="264"/>
      <c r="D38" s="5" t="s">
        <v>50</v>
      </c>
      <c r="E38" s="5"/>
      <c r="F38" s="21">
        <v>249</v>
      </c>
      <c r="G38" s="5"/>
      <c r="H38" s="6">
        <v>15</v>
      </c>
      <c r="I38" s="269"/>
      <c r="J38" s="271"/>
      <c r="K38" s="28"/>
      <c r="L38" s="11"/>
      <c r="M38" s="11"/>
      <c r="N38" s="10"/>
      <c r="O38" s="10"/>
      <c r="P38" s="10"/>
      <c r="Q38" s="10"/>
      <c r="R38" s="10"/>
      <c r="S38" s="10"/>
    </row>
    <row r="39" spans="2:19" ht="15.6" x14ac:dyDescent="0.3">
      <c r="B39" s="263"/>
      <c r="C39" s="264"/>
      <c r="D39" s="265" t="s">
        <v>10</v>
      </c>
      <c r="E39" s="265"/>
      <c r="F39" s="265"/>
      <c r="G39" s="265"/>
      <c r="H39" s="4"/>
      <c r="I39" s="269"/>
      <c r="J39" s="271"/>
      <c r="K39" s="28"/>
      <c r="L39" s="11"/>
      <c r="M39" s="11"/>
      <c r="N39" s="10"/>
      <c r="O39" s="10"/>
      <c r="P39" s="10"/>
      <c r="Q39" s="10"/>
      <c r="R39" s="10"/>
      <c r="S39" s="10"/>
    </row>
    <row r="40" spans="2:19" ht="15.6" x14ac:dyDescent="0.3">
      <c r="B40" s="263"/>
      <c r="C40" s="264"/>
      <c r="D40" s="23" t="s">
        <v>3</v>
      </c>
      <c r="E40" s="23" t="s">
        <v>4</v>
      </c>
      <c r="F40" s="24" t="s">
        <v>5</v>
      </c>
      <c r="G40" s="23" t="s">
        <v>6</v>
      </c>
      <c r="H40" s="27"/>
      <c r="I40" s="269"/>
      <c r="J40" s="271"/>
      <c r="K40" s="32"/>
      <c r="L40" s="31"/>
      <c r="M40" s="31"/>
      <c r="N40" s="27"/>
      <c r="O40" s="27"/>
      <c r="P40" s="27"/>
      <c r="Q40" s="27"/>
      <c r="R40" s="27"/>
      <c r="S40" s="27"/>
    </row>
    <row r="41" spans="2:19" x14ac:dyDescent="0.3">
      <c r="B41" s="263"/>
      <c r="C41" s="264"/>
      <c r="D41" s="5" t="s">
        <v>58</v>
      </c>
      <c r="E41" s="5"/>
      <c r="F41" s="21">
        <v>349</v>
      </c>
      <c r="G41" s="5"/>
      <c r="H41" s="6">
        <v>10</v>
      </c>
      <c r="I41" s="269"/>
      <c r="J41" s="271"/>
      <c r="K41" s="28"/>
      <c r="L41" s="11"/>
      <c r="M41" s="11"/>
      <c r="N41" s="10"/>
      <c r="O41" s="10"/>
      <c r="P41" s="10"/>
      <c r="Q41" s="10"/>
      <c r="R41" s="10"/>
      <c r="S41" s="10"/>
    </row>
    <row r="42" spans="2:19" ht="15.6" x14ac:dyDescent="0.3">
      <c r="B42" s="263"/>
      <c r="C42" s="264"/>
      <c r="D42" s="265" t="s">
        <v>11</v>
      </c>
      <c r="E42" s="265"/>
      <c r="F42" s="265"/>
      <c r="G42" s="265"/>
      <c r="H42" s="6"/>
      <c r="I42" s="269"/>
      <c r="J42" s="271"/>
      <c r="K42" s="28"/>
      <c r="L42" s="11"/>
      <c r="M42" s="11"/>
      <c r="N42" s="10"/>
      <c r="O42" s="10"/>
      <c r="P42" s="10"/>
      <c r="Q42" s="10"/>
      <c r="R42" s="10"/>
      <c r="S42" s="10"/>
    </row>
    <row r="43" spans="2:19" ht="15.6" x14ac:dyDescent="0.3">
      <c r="B43" s="263"/>
      <c r="C43" s="264"/>
      <c r="D43" s="23" t="s">
        <v>3</v>
      </c>
      <c r="E43" s="23" t="s">
        <v>4</v>
      </c>
      <c r="F43" s="24" t="s">
        <v>5</v>
      </c>
      <c r="G43" s="23" t="s">
        <v>6</v>
      </c>
      <c r="H43" s="23"/>
      <c r="I43" s="269"/>
      <c r="J43" s="271"/>
      <c r="K43" s="32"/>
      <c r="L43" s="31"/>
      <c r="M43" s="31"/>
      <c r="N43" s="27"/>
      <c r="O43" s="27"/>
      <c r="P43" s="27"/>
      <c r="Q43" s="27"/>
      <c r="R43" s="27"/>
      <c r="S43" s="27"/>
    </row>
    <row r="44" spans="2:19" ht="15.6" x14ac:dyDescent="0.3">
      <c r="B44" s="263"/>
      <c r="C44" s="264"/>
      <c r="D44" s="5" t="s">
        <v>55</v>
      </c>
      <c r="E44" s="2"/>
      <c r="F44" s="20"/>
      <c r="G44" s="2"/>
      <c r="H44" s="6">
        <v>12</v>
      </c>
      <c r="I44" s="269"/>
      <c r="J44" s="271"/>
      <c r="K44" s="28"/>
      <c r="L44" s="11"/>
      <c r="M44" s="11"/>
      <c r="N44" s="10"/>
      <c r="O44" s="10"/>
      <c r="P44" s="10"/>
      <c r="Q44" s="10"/>
      <c r="R44" s="10"/>
      <c r="S44" s="10"/>
    </row>
    <row r="45" spans="2:19" ht="15.6" x14ac:dyDescent="0.3">
      <c r="B45" s="263"/>
      <c r="C45" s="264"/>
      <c r="D45" s="265" t="s">
        <v>12</v>
      </c>
      <c r="E45" s="265"/>
      <c r="F45" s="265"/>
      <c r="G45" s="265"/>
      <c r="H45" s="6"/>
      <c r="I45" s="269"/>
      <c r="J45" s="271"/>
      <c r="K45" s="28"/>
      <c r="L45" s="11"/>
      <c r="M45" s="11"/>
      <c r="N45" s="10"/>
      <c r="O45" s="10"/>
      <c r="P45" s="10"/>
      <c r="Q45" s="10"/>
      <c r="R45" s="10"/>
      <c r="S45" s="10"/>
    </row>
    <row r="46" spans="2:19" ht="15.6" x14ac:dyDescent="0.3">
      <c r="B46" s="263"/>
      <c r="C46" s="264"/>
      <c r="D46" s="23" t="s">
        <v>3</v>
      </c>
      <c r="E46" s="23" t="s">
        <v>4</v>
      </c>
      <c r="F46" s="24" t="s">
        <v>5</v>
      </c>
      <c r="G46" s="23" t="s">
        <v>6</v>
      </c>
      <c r="H46" s="27"/>
      <c r="I46" s="269"/>
      <c r="J46" s="271"/>
      <c r="K46" s="32"/>
      <c r="L46" s="31"/>
      <c r="M46" s="31"/>
      <c r="N46" s="27"/>
      <c r="O46" s="27"/>
      <c r="P46" s="27"/>
      <c r="Q46" s="27"/>
      <c r="R46" s="27"/>
      <c r="S46" s="27"/>
    </row>
    <row r="47" spans="2:19" ht="15.6" x14ac:dyDescent="0.3">
      <c r="B47" s="263"/>
      <c r="C47" s="264"/>
      <c r="D47" s="5" t="s">
        <v>56</v>
      </c>
      <c r="E47" s="5" t="s">
        <v>57</v>
      </c>
      <c r="F47" s="21">
        <v>200</v>
      </c>
      <c r="G47" s="2"/>
      <c r="H47" s="6">
        <v>15</v>
      </c>
      <c r="I47" s="273"/>
      <c r="J47" s="272"/>
      <c r="K47" s="28"/>
      <c r="L47" s="11"/>
      <c r="M47" s="11"/>
      <c r="N47" s="10"/>
      <c r="O47" s="10"/>
      <c r="P47" s="10"/>
      <c r="Q47" s="10"/>
      <c r="R47" s="10"/>
      <c r="S47" s="10"/>
    </row>
    <row r="48" spans="2:19" ht="31.2" x14ac:dyDescent="0.3">
      <c r="B48" s="7"/>
      <c r="C48" s="15"/>
      <c r="D48" s="260" t="s">
        <v>17</v>
      </c>
      <c r="E48" s="260"/>
      <c r="F48" s="260"/>
      <c r="G48" s="260"/>
      <c r="H48" s="260" t="s">
        <v>9</v>
      </c>
      <c r="I48" s="260"/>
      <c r="J48" s="8"/>
      <c r="K48" s="261" t="s">
        <v>13</v>
      </c>
      <c r="L48" s="262"/>
      <c r="M48" s="261" t="s">
        <v>14</v>
      </c>
      <c r="N48" s="262"/>
      <c r="O48" s="8" t="s">
        <v>15</v>
      </c>
      <c r="P48" s="8" t="s">
        <v>101</v>
      </c>
      <c r="Q48" s="8" t="s">
        <v>103</v>
      </c>
      <c r="R48" s="8" t="s">
        <v>104</v>
      </c>
      <c r="S48" s="8" t="s">
        <v>131</v>
      </c>
    </row>
    <row r="49" spans="2:19" ht="15.6" x14ac:dyDescent="0.3">
      <c r="B49" s="7"/>
      <c r="C49" s="15"/>
      <c r="D49" s="260"/>
      <c r="E49" s="260"/>
      <c r="F49" s="260"/>
      <c r="G49" s="260"/>
      <c r="H49" s="4" t="s">
        <v>7</v>
      </c>
      <c r="I49" s="4" t="s">
        <v>8</v>
      </c>
      <c r="J49" s="3" t="s">
        <v>8</v>
      </c>
      <c r="K49" s="26">
        <v>45901</v>
      </c>
      <c r="L49" s="26">
        <v>45992</v>
      </c>
      <c r="M49" s="26">
        <v>45931</v>
      </c>
      <c r="N49" s="30">
        <v>45992</v>
      </c>
      <c r="O49" s="30">
        <v>45992</v>
      </c>
      <c r="P49" s="30">
        <v>45992</v>
      </c>
      <c r="Q49" s="30"/>
      <c r="R49" s="30"/>
      <c r="S49" s="30"/>
    </row>
    <row r="50" spans="2:19" ht="15.6" x14ac:dyDescent="0.3">
      <c r="B50" s="263">
        <v>4</v>
      </c>
      <c r="C50" s="264" t="s">
        <v>21</v>
      </c>
      <c r="D50" s="265" t="s">
        <v>2</v>
      </c>
      <c r="E50" s="265"/>
      <c r="F50" s="265"/>
      <c r="G50" s="265"/>
      <c r="H50" s="6"/>
      <c r="I50" s="268">
        <v>1000</v>
      </c>
      <c r="J50" s="270"/>
      <c r="K50" s="28"/>
      <c r="L50" s="11"/>
      <c r="M50" s="11"/>
      <c r="N50" s="10"/>
      <c r="O50" s="10"/>
      <c r="P50" s="10"/>
      <c r="Q50" s="10"/>
      <c r="R50" s="10"/>
      <c r="S50" s="10"/>
    </row>
    <row r="51" spans="2:19" ht="15.6" x14ac:dyDescent="0.3">
      <c r="B51" s="263"/>
      <c r="C51" s="264"/>
      <c r="D51" s="23" t="s">
        <v>3</v>
      </c>
      <c r="E51" s="23" t="s">
        <v>4</v>
      </c>
      <c r="F51" s="24" t="s">
        <v>5</v>
      </c>
      <c r="G51" s="23" t="s">
        <v>6</v>
      </c>
      <c r="H51" s="27"/>
      <c r="I51" s="269"/>
      <c r="J51" s="271"/>
      <c r="K51" s="32"/>
      <c r="L51" s="31"/>
      <c r="M51" s="31"/>
      <c r="N51" s="27"/>
      <c r="O51" s="27"/>
      <c r="P51" s="27"/>
      <c r="Q51" s="27"/>
      <c r="R51" s="27"/>
      <c r="S51" s="27"/>
    </row>
    <row r="52" spans="2:19" ht="15.6" x14ac:dyDescent="0.3">
      <c r="B52" s="263"/>
      <c r="C52" s="264"/>
      <c r="D52" s="5" t="s">
        <v>86</v>
      </c>
      <c r="E52" s="5"/>
      <c r="F52" s="21">
        <v>299</v>
      </c>
      <c r="G52" s="5"/>
      <c r="H52" s="4">
        <v>6</v>
      </c>
      <c r="I52" s="269"/>
      <c r="J52" s="271"/>
      <c r="K52" s="28"/>
      <c r="L52" s="11"/>
      <c r="M52" s="11"/>
      <c r="N52" s="10"/>
      <c r="O52" s="10"/>
      <c r="P52" s="10"/>
      <c r="Q52" s="10"/>
      <c r="R52" s="10"/>
      <c r="S52" s="10"/>
    </row>
    <row r="53" spans="2:19" ht="15.6" x14ac:dyDescent="0.3">
      <c r="B53" s="263"/>
      <c r="C53" s="264"/>
      <c r="D53" s="265" t="s">
        <v>10</v>
      </c>
      <c r="E53" s="265"/>
      <c r="F53" s="265"/>
      <c r="G53" s="265"/>
      <c r="H53" s="4"/>
      <c r="I53" s="269"/>
      <c r="J53" s="271"/>
      <c r="K53" s="28"/>
      <c r="L53" s="11"/>
      <c r="M53" s="11"/>
      <c r="N53" s="10"/>
      <c r="O53" s="10"/>
      <c r="P53" s="10"/>
      <c r="Q53" s="10"/>
      <c r="R53" s="10"/>
      <c r="S53" s="10"/>
    </row>
    <row r="54" spans="2:19" ht="15.6" x14ac:dyDescent="0.3">
      <c r="B54" s="263"/>
      <c r="C54" s="264"/>
      <c r="D54" s="23" t="s">
        <v>3</v>
      </c>
      <c r="E54" s="23" t="s">
        <v>4</v>
      </c>
      <c r="F54" s="24" t="s">
        <v>5</v>
      </c>
      <c r="G54" s="23" t="s">
        <v>6</v>
      </c>
      <c r="H54" s="27"/>
      <c r="I54" s="269"/>
      <c r="J54" s="271"/>
      <c r="K54" s="32"/>
      <c r="L54" s="31"/>
      <c r="M54" s="31"/>
      <c r="N54" s="27"/>
      <c r="O54" s="27"/>
      <c r="P54" s="27"/>
      <c r="Q54" s="27"/>
      <c r="R54" s="27"/>
      <c r="S54" s="27"/>
    </row>
    <row r="55" spans="2:19" x14ac:dyDescent="0.3">
      <c r="B55" s="263"/>
      <c r="C55" s="264"/>
      <c r="D55" s="5" t="s">
        <v>86</v>
      </c>
      <c r="E55" s="5"/>
      <c r="F55" s="21">
        <v>299</v>
      </c>
      <c r="G55" s="5"/>
      <c r="H55" s="6">
        <v>6</v>
      </c>
      <c r="I55" s="269"/>
      <c r="J55" s="271"/>
      <c r="K55" s="28"/>
      <c r="L55" s="11"/>
      <c r="M55" s="11"/>
      <c r="N55" s="10"/>
      <c r="O55" s="10"/>
      <c r="P55" s="10"/>
      <c r="Q55" s="10"/>
      <c r="R55" s="10"/>
      <c r="S55" s="10"/>
    </row>
    <row r="56" spans="2:19" ht="15.6" x14ac:dyDescent="0.3">
      <c r="B56" s="263"/>
      <c r="C56" s="264"/>
      <c r="D56" s="265" t="s">
        <v>11</v>
      </c>
      <c r="E56" s="265"/>
      <c r="F56" s="265"/>
      <c r="G56" s="265"/>
      <c r="H56" s="6"/>
      <c r="I56" s="269"/>
      <c r="J56" s="271"/>
      <c r="K56" s="28"/>
      <c r="L56" s="11"/>
      <c r="M56" s="11"/>
      <c r="N56" s="10"/>
      <c r="O56" s="10"/>
      <c r="P56" s="10"/>
      <c r="Q56" s="10"/>
      <c r="R56" s="10"/>
      <c r="S56" s="10"/>
    </row>
    <row r="57" spans="2:19" ht="15.6" x14ac:dyDescent="0.3">
      <c r="B57" s="263"/>
      <c r="C57" s="264"/>
      <c r="D57" s="23" t="s">
        <v>3</v>
      </c>
      <c r="E57" s="23" t="s">
        <v>4</v>
      </c>
      <c r="F57" s="24" t="s">
        <v>5</v>
      </c>
      <c r="G57" s="23" t="s">
        <v>6</v>
      </c>
      <c r="H57" s="23"/>
      <c r="I57" s="269"/>
      <c r="J57" s="271"/>
      <c r="K57" s="32"/>
      <c r="L57" s="31"/>
      <c r="M57" s="31"/>
      <c r="N57" s="27"/>
      <c r="O57" s="27"/>
      <c r="P57" s="27"/>
      <c r="Q57" s="27"/>
      <c r="R57" s="27"/>
      <c r="S57" s="27"/>
    </row>
    <row r="58" spans="2:19" x14ac:dyDescent="0.3">
      <c r="B58" s="263"/>
      <c r="C58" s="264"/>
      <c r="D58" s="5" t="s">
        <v>87</v>
      </c>
      <c r="E58" s="5" t="s">
        <v>88</v>
      </c>
      <c r="F58" s="21">
        <v>599</v>
      </c>
      <c r="G58" s="5"/>
      <c r="H58" s="6"/>
      <c r="I58" s="269"/>
      <c r="J58" s="271"/>
      <c r="K58" s="28"/>
      <c r="L58" s="11"/>
      <c r="M58" s="11"/>
      <c r="N58" s="10"/>
      <c r="O58" s="10"/>
      <c r="P58" s="10"/>
      <c r="Q58" s="10"/>
      <c r="R58" s="10"/>
      <c r="S58" s="10"/>
    </row>
    <row r="59" spans="2:19" ht="15.6" x14ac:dyDescent="0.3">
      <c r="B59" s="263"/>
      <c r="C59" s="264"/>
      <c r="D59" s="265" t="s">
        <v>12</v>
      </c>
      <c r="E59" s="265"/>
      <c r="F59" s="265"/>
      <c r="G59" s="265"/>
      <c r="H59" s="6"/>
      <c r="I59" s="269"/>
      <c r="J59" s="271"/>
      <c r="K59" s="28"/>
      <c r="L59" s="11"/>
      <c r="M59" s="11"/>
      <c r="N59" s="10"/>
      <c r="O59" s="10"/>
      <c r="P59" s="10"/>
      <c r="Q59" s="10"/>
      <c r="R59" s="10"/>
      <c r="S59" s="10"/>
    </row>
    <row r="60" spans="2:19" ht="15.6" x14ac:dyDescent="0.3">
      <c r="B60" s="263"/>
      <c r="C60" s="264"/>
      <c r="D60" s="23" t="s">
        <v>3</v>
      </c>
      <c r="E60" s="23" t="s">
        <v>4</v>
      </c>
      <c r="F60" s="24" t="s">
        <v>5</v>
      </c>
      <c r="G60" s="23" t="s">
        <v>6</v>
      </c>
      <c r="H60" s="27"/>
      <c r="I60" s="269"/>
      <c r="J60" s="271"/>
      <c r="K60" s="32"/>
      <c r="L60" s="31"/>
      <c r="M60" s="31"/>
      <c r="N60" s="27"/>
      <c r="O60" s="27"/>
      <c r="P60" s="27"/>
      <c r="Q60" s="27"/>
      <c r="R60" s="27"/>
      <c r="S60" s="27"/>
    </row>
    <row r="61" spans="2:19" ht="15.6" x14ac:dyDescent="0.3">
      <c r="B61" s="263"/>
      <c r="C61" s="264"/>
      <c r="D61" s="5"/>
      <c r="E61" s="5"/>
      <c r="F61" s="21"/>
      <c r="G61" s="5"/>
      <c r="H61" s="4"/>
      <c r="I61" s="273"/>
      <c r="J61" s="272"/>
      <c r="K61" s="28"/>
      <c r="L61" s="11"/>
      <c r="M61" s="11"/>
      <c r="N61" s="10"/>
      <c r="O61" s="10"/>
      <c r="P61" s="10"/>
      <c r="Q61" s="10"/>
      <c r="R61" s="10"/>
      <c r="S61" s="10"/>
    </row>
    <row r="62" spans="2:19" ht="31.2" x14ac:dyDescent="0.3">
      <c r="B62" s="7"/>
      <c r="C62" s="15"/>
      <c r="D62" s="260" t="s">
        <v>17</v>
      </c>
      <c r="E62" s="260"/>
      <c r="F62" s="260"/>
      <c r="G62" s="260"/>
      <c r="H62" s="260" t="s">
        <v>9</v>
      </c>
      <c r="I62" s="260"/>
      <c r="J62" s="8"/>
      <c r="K62" s="261" t="s">
        <v>13</v>
      </c>
      <c r="L62" s="262"/>
      <c r="M62" s="261" t="s">
        <v>14</v>
      </c>
      <c r="N62" s="262"/>
      <c r="O62" s="8" t="s">
        <v>15</v>
      </c>
      <c r="P62" s="8" t="s">
        <v>101</v>
      </c>
      <c r="Q62" s="8" t="s">
        <v>103</v>
      </c>
      <c r="R62" s="8" t="s">
        <v>104</v>
      </c>
      <c r="S62" s="8" t="s">
        <v>131</v>
      </c>
    </row>
    <row r="63" spans="2:19" ht="15.6" x14ac:dyDescent="0.3">
      <c r="B63" s="7"/>
      <c r="C63" s="15"/>
      <c r="D63" s="260"/>
      <c r="E63" s="260"/>
      <c r="F63" s="260"/>
      <c r="G63" s="260"/>
      <c r="H63" s="4" t="s">
        <v>7</v>
      </c>
      <c r="I63" s="4" t="s">
        <v>8</v>
      </c>
      <c r="J63" s="3" t="s">
        <v>8</v>
      </c>
      <c r="K63" s="26">
        <v>45901</v>
      </c>
      <c r="L63" s="26">
        <v>45992</v>
      </c>
      <c r="M63" s="26">
        <v>45931</v>
      </c>
      <c r="N63" s="30">
        <v>45992</v>
      </c>
      <c r="O63" s="30">
        <v>45992</v>
      </c>
      <c r="P63" s="30">
        <v>45992</v>
      </c>
      <c r="Q63" s="30"/>
      <c r="R63" s="30"/>
      <c r="S63" s="30"/>
    </row>
    <row r="64" spans="2:19" ht="15.6" x14ac:dyDescent="0.3">
      <c r="B64" s="263">
        <v>5</v>
      </c>
      <c r="C64" s="264" t="s">
        <v>22</v>
      </c>
      <c r="D64" s="265" t="s">
        <v>2</v>
      </c>
      <c r="E64" s="265"/>
      <c r="F64" s="265"/>
      <c r="G64" s="265"/>
      <c r="H64" s="6"/>
      <c r="I64" s="268">
        <v>1000</v>
      </c>
      <c r="J64" s="270">
        <v>1500</v>
      </c>
      <c r="K64" s="28"/>
      <c r="L64" s="11"/>
      <c r="M64" s="11"/>
      <c r="N64" s="10"/>
      <c r="O64" s="10"/>
      <c r="P64" s="10"/>
      <c r="Q64" s="10"/>
      <c r="R64" s="10"/>
      <c r="S64" s="10"/>
    </row>
    <row r="65" spans="2:19" ht="15.6" x14ac:dyDescent="0.3">
      <c r="B65" s="263"/>
      <c r="C65" s="264"/>
      <c r="D65" s="23" t="s">
        <v>3</v>
      </c>
      <c r="E65" s="23" t="s">
        <v>4</v>
      </c>
      <c r="F65" s="24" t="s">
        <v>5</v>
      </c>
      <c r="G65" s="23" t="s">
        <v>6</v>
      </c>
      <c r="H65" s="27"/>
      <c r="I65" s="269"/>
      <c r="J65" s="271"/>
      <c r="K65" s="32"/>
      <c r="L65" s="31"/>
      <c r="M65" s="31"/>
      <c r="N65" s="27"/>
      <c r="O65" s="27"/>
      <c r="P65" s="27"/>
      <c r="Q65" s="27"/>
      <c r="R65" s="27"/>
      <c r="S65" s="27"/>
    </row>
    <row r="66" spans="2:19" ht="15.6" x14ac:dyDescent="0.3">
      <c r="B66" s="263"/>
      <c r="C66" s="264"/>
      <c r="D66" s="5" t="s">
        <v>44</v>
      </c>
      <c r="E66" s="5" t="s">
        <v>34</v>
      </c>
      <c r="F66" s="21">
        <v>299</v>
      </c>
      <c r="G66" s="5"/>
      <c r="H66" s="4"/>
      <c r="I66" s="269"/>
      <c r="J66" s="271"/>
      <c r="K66" s="28"/>
      <c r="L66" s="11"/>
      <c r="M66" s="11"/>
      <c r="N66" s="10"/>
      <c r="O66" s="10"/>
      <c r="P66" s="10"/>
      <c r="Q66" s="10"/>
      <c r="R66" s="10"/>
      <c r="S66" s="10"/>
    </row>
    <row r="67" spans="2:19" ht="15.6" x14ac:dyDescent="0.3">
      <c r="B67" s="263"/>
      <c r="C67" s="264"/>
      <c r="D67" s="265" t="s">
        <v>10</v>
      </c>
      <c r="E67" s="265"/>
      <c r="F67" s="265"/>
      <c r="G67" s="265"/>
      <c r="H67" s="4"/>
      <c r="I67" s="269"/>
      <c r="J67" s="271"/>
      <c r="K67" s="28"/>
      <c r="L67" s="11"/>
      <c r="M67" s="11"/>
      <c r="N67" s="10"/>
      <c r="O67" s="10"/>
      <c r="P67" s="10"/>
      <c r="Q67" s="10"/>
      <c r="R67" s="10"/>
      <c r="S67" s="10"/>
    </row>
    <row r="68" spans="2:19" ht="15.6" x14ac:dyDescent="0.3">
      <c r="B68" s="263"/>
      <c r="C68" s="264"/>
      <c r="D68" s="23" t="s">
        <v>3</v>
      </c>
      <c r="E68" s="23" t="s">
        <v>4</v>
      </c>
      <c r="F68" s="24" t="s">
        <v>5</v>
      </c>
      <c r="G68" s="23" t="s">
        <v>6</v>
      </c>
      <c r="H68" s="27"/>
      <c r="I68" s="269"/>
      <c r="J68" s="271"/>
      <c r="K68" s="32"/>
      <c r="L68" s="31"/>
      <c r="M68" s="31"/>
      <c r="N68" s="27"/>
      <c r="O68" s="27"/>
      <c r="P68" s="27"/>
      <c r="Q68" s="27"/>
      <c r="R68" s="27"/>
      <c r="S68" s="27"/>
    </row>
    <row r="69" spans="2:19" x14ac:dyDescent="0.3">
      <c r="B69" s="263"/>
      <c r="C69" s="264"/>
      <c r="D69" s="5" t="s">
        <v>45</v>
      </c>
      <c r="E69" s="5" t="s">
        <v>38</v>
      </c>
      <c r="F69" s="21">
        <v>299</v>
      </c>
      <c r="G69" s="5"/>
      <c r="H69" s="6"/>
      <c r="I69" s="269"/>
      <c r="J69" s="271"/>
      <c r="K69" s="28"/>
      <c r="L69" s="11"/>
      <c r="M69" s="11"/>
      <c r="N69" s="10"/>
      <c r="O69" s="10"/>
      <c r="P69" s="10"/>
      <c r="Q69" s="10"/>
      <c r="R69" s="10"/>
      <c r="S69" s="10"/>
    </row>
    <row r="70" spans="2:19" ht="15.6" x14ac:dyDescent="0.3">
      <c r="B70" s="263"/>
      <c r="C70" s="264"/>
      <c r="D70" s="265" t="s">
        <v>11</v>
      </c>
      <c r="E70" s="265"/>
      <c r="F70" s="265"/>
      <c r="G70" s="265"/>
      <c r="H70" s="6"/>
      <c r="I70" s="269"/>
      <c r="J70" s="271"/>
      <c r="K70" s="28"/>
      <c r="L70" s="11"/>
      <c r="M70" s="11"/>
      <c r="N70" s="10"/>
      <c r="O70" s="10"/>
      <c r="P70" s="10"/>
      <c r="Q70" s="10"/>
      <c r="R70" s="10"/>
      <c r="S70" s="10"/>
    </row>
    <row r="71" spans="2:19" ht="15.6" x14ac:dyDescent="0.3">
      <c r="B71" s="263"/>
      <c r="C71" s="264"/>
      <c r="D71" s="23" t="s">
        <v>3</v>
      </c>
      <c r="E71" s="23" t="s">
        <v>4</v>
      </c>
      <c r="F71" s="24" t="s">
        <v>5</v>
      </c>
      <c r="G71" s="23" t="s">
        <v>6</v>
      </c>
      <c r="H71" s="23"/>
      <c r="I71" s="269"/>
      <c r="J71" s="271"/>
      <c r="K71" s="32"/>
      <c r="L71" s="31"/>
      <c r="M71" s="31"/>
      <c r="N71" s="27"/>
      <c r="O71" s="27"/>
      <c r="P71" s="27"/>
      <c r="Q71" s="27"/>
      <c r="R71" s="27"/>
      <c r="S71" s="27"/>
    </row>
    <row r="72" spans="2:19" x14ac:dyDescent="0.3">
      <c r="B72" s="263"/>
      <c r="C72" s="264"/>
      <c r="D72" s="5" t="s">
        <v>46</v>
      </c>
      <c r="E72" s="5" t="s">
        <v>38</v>
      </c>
      <c r="F72" s="21">
        <v>299</v>
      </c>
      <c r="G72" s="5"/>
      <c r="H72" s="6"/>
      <c r="I72" s="269"/>
      <c r="J72" s="271"/>
      <c r="K72" s="28"/>
      <c r="L72" s="11"/>
      <c r="M72" s="11"/>
      <c r="N72" s="10"/>
      <c r="O72" s="10"/>
      <c r="P72" s="10"/>
      <c r="Q72" s="10"/>
      <c r="R72" s="10"/>
      <c r="S72" s="10"/>
    </row>
    <row r="73" spans="2:19" ht="15.6" x14ac:dyDescent="0.3">
      <c r="B73" s="263"/>
      <c r="C73" s="264"/>
      <c r="D73" s="265" t="s">
        <v>12</v>
      </c>
      <c r="E73" s="265"/>
      <c r="F73" s="265"/>
      <c r="G73" s="265"/>
      <c r="H73" s="6"/>
      <c r="I73" s="269"/>
      <c r="J73" s="271"/>
      <c r="K73" s="28"/>
      <c r="L73" s="11"/>
      <c r="M73" s="11"/>
      <c r="N73" s="10"/>
      <c r="O73" s="10"/>
      <c r="P73" s="10"/>
      <c r="Q73" s="10"/>
      <c r="R73" s="10"/>
      <c r="S73" s="10"/>
    </row>
    <row r="74" spans="2:19" ht="15.6" x14ac:dyDescent="0.3">
      <c r="B74" s="263"/>
      <c r="C74" s="264"/>
      <c r="D74" s="23" t="s">
        <v>3</v>
      </c>
      <c r="E74" s="23" t="s">
        <v>4</v>
      </c>
      <c r="F74" s="24" t="s">
        <v>5</v>
      </c>
      <c r="G74" s="23" t="s">
        <v>6</v>
      </c>
      <c r="H74" s="27"/>
      <c r="I74" s="269"/>
      <c r="J74" s="271"/>
      <c r="K74" s="32"/>
      <c r="L74" s="31"/>
      <c r="M74" s="31"/>
      <c r="N74" s="27"/>
      <c r="O74" s="27"/>
      <c r="P74" s="27"/>
      <c r="Q74" s="27"/>
      <c r="R74" s="27"/>
      <c r="S74" s="27"/>
    </row>
    <row r="75" spans="2:19" ht="15.6" x14ac:dyDescent="0.3">
      <c r="B75" s="263"/>
      <c r="C75" s="264"/>
      <c r="D75" s="5" t="s">
        <v>47</v>
      </c>
      <c r="E75" s="5"/>
      <c r="F75" s="21">
        <v>499</v>
      </c>
      <c r="G75" s="2"/>
      <c r="H75" s="6"/>
      <c r="I75" s="269"/>
      <c r="J75" s="271"/>
      <c r="K75" s="28"/>
      <c r="L75" s="11"/>
      <c r="M75" s="11"/>
      <c r="N75" s="10"/>
      <c r="O75" s="10"/>
      <c r="P75" s="10"/>
      <c r="Q75" s="10"/>
      <c r="R75" s="10"/>
      <c r="S75" s="10"/>
    </row>
    <row r="76" spans="2:19" ht="15.6" x14ac:dyDescent="0.3">
      <c r="B76" s="263"/>
      <c r="C76" s="264"/>
      <c r="D76" s="265" t="s">
        <v>36</v>
      </c>
      <c r="E76" s="265"/>
      <c r="F76" s="265"/>
      <c r="G76" s="265"/>
      <c r="H76" s="6"/>
      <c r="I76" s="269"/>
      <c r="J76" s="271"/>
      <c r="K76" s="28"/>
      <c r="L76" s="11"/>
      <c r="M76" s="11"/>
      <c r="N76" s="10"/>
      <c r="O76" s="10"/>
      <c r="P76" s="10"/>
      <c r="Q76" s="10"/>
      <c r="R76" s="10"/>
      <c r="S76" s="10"/>
    </row>
    <row r="77" spans="2:19" ht="15.6" x14ac:dyDescent="0.3">
      <c r="B77" s="263"/>
      <c r="C77" s="264"/>
      <c r="D77" s="23" t="s">
        <v>3</v>
      </c>
      <c r="E77" s="23" t="s">
        <v>4</v>
      </c>
      <c r="F77" s="24" t="s">
        <v>5</v>
      </c>
      <c r="G77" s="23" t="s">
        <v>6</v>
      </c>
      <c r="H77" s="27"/>
      <c r="I77" s="269"/>
      <c r="J77" s="271"/>
      <c r="K77" s="32"/>
      <c r="L77" s="31"/>
      <c r="M77" s="31"/>
      <c r="N77" s="27"/>
      <c r="O77" s="27"/>
      <c r="P77" s="27"/>
      <c r="Q77" s="27"/>
      <c r="R77" s="27"/>
      <c r="S77" s="27"/>
    </row>
    <row r="78" spans="2:19" ht="15.6" x14ac:dyDescent="0.3">
      <c r="B78" s="263"/>
      <c r="C78" s="264"/>
      <c r="D78" s="5" t="s">
        <v>48</v>
      </c>
      <c r="E78" s="5" t="s">
        <v>49</v>
      </c>
      <c r="F78" s="21">
        <v>350</v>
      </c>
      <c r="G78" s="2"/>
      <c r="H78" s="4"/>
      <c r="I78" s="273"/>
      <c r="J78" s="272"/>
      <c r="K78" s="28"/>
      <c r="L78" s="11"/>
      <c r="M78" s="11"/>
      <c r="N78" s="10"/>
      <c r="O78" s="10"/>
      <c r="P78" s="10"/>
      <c r="Q78" s="10"/>
      <c r="R78" s="10"/>
      <c r="S78" s="10"/>
    </row>
    <row r="79" spans="2:19" ht="31.2" x14ac:dyDescent="0.3">
      <c r="B79" s="7"/>
      <c r="C79" s="15"/>
      <c r="D79" s="260" t="s">
        <v>17</v>
      </c>
      <c r="E79" s="260"/>
      <c r="F79" s="260"/>
      <c r="G79" s="260"/>
      <c r="H79" s="260" t="s">
        <v>9</v>
      </c>
      <c r="I79" s="260"/>
      <c r="J79" s="8"/>
      <c r="K79" s="261" t="s">
        <v>13</v>
      </c>
      <c r="L79" s="262"/>
      <c r="M79" s="261" t="s">
        <v>14</v>
      </c>
      <c r="N79" s="262"/>
      <c r="O79" s="8" t="s">
        <v>15</v>
      </c>
      <c r="P79" s="8" t="s">
        <v>101</v>
      </c>
      <c r="Q79" s="8" t="s">
        <v>103</v>
      </c>
      <c r="R79" s="8" t="s">
        <v>104</v>
      </c>
      <c r="S79" s="8" t="s">
        <v>131</v>
      </c>
    </row>
    <row r="80" spans="2:19" ht="15.6" x14ac:dyDescent="0.3">
      <c r="B80" s="7"/>
      <c r="C80" s="15"/>
      <c r="D80" s="260"/>
      <c r="E80" s="260"/>
      <c r="F80" s="260"/>
      <c r="G80" s="260"/>
      <c r="H80" s="4" t="s">
        <v>7</v>
      </c>
      <c r="I80" s="4" t="s">
        <v>8</v>
      </c>
      <c r="J80" s="3" t="s">
        <v>8</v>
      </c>
      <c r="K80" s="26">
        <v>45901</v>
      </c>
      <c r="L80" s="26">
        <v>45992</v>
      </c>
      <c r="M80" s="26">
        <v>45931</v>
      </c>
      <c r="N80" s="30">
        <v>45992</v>
      </c>
      <c r="O80" s="30">
        <v>45992</v>
      </c>
      <c r="P80" s="30">
        <v>45992</v>
      </c>
      <c r="Q80" s="30"/>
      <c r="R80" s="30"/>
      <c r="S80" s="30"/>
    </row>
    <row r="81" spans="2:19" ht="15.6" x14ac:dyDescent="0.3">
      <c r="B81" s="263">
        <v>6</v>
      </c>
      <c r="C81" s="264" t="s">
        <v>106</v>
      </c>
      <c r="D81" s="265" t="s">
        <v>2</v>
      </c>
      <c r="E81" s="265"/>
      <c r="F81" s="265"/>
      <c r="G81" s="265"/>
      <c r="H81" s="6"/>
      <c r="I81" s="268">
        <v>1000</v>
      </c>
      <c r="J81" s="270">
        <v>1500</v>
      </c>
      <c r="K81" s="28"/>
      <c r="L81" s="11"/>
      <c r="M81" s="11"/>
      <c r="N81" s="10"/>
      <c r="O81" s="10"/>
      <c r="P81" s="10"/>
      <c r="Q81" s="10"/>
      <c r="R81" s="10"/>
      <c r="S81" s="10"/>
    </row>
    <row r="82" spans="2:19" ht="15.6" x14ac:dyDescent="0.3">
      <c r="B82" s="263"/>
      <c r="C82" s="264"/>
      <c r="D82" s="23" t="s">
        <v>3</v>
      </c>
      <c r="E82" s="23" t="s">
        <v>4</v>
      </c>
      <c r="F82" s="24" t="s">
        <v>5</v>
      </c>
      <c r="G82" s="23" t="s">
        <v>6</v>
      </c>
      <c r="H82" s="27"/>
      <c r="I82" s="269"/>
      <c r="J82" s="271"/>
      <c r="K82" s="32"/>
      <c r="L82" s="31"/>
      <c r="M82" s="31"/>
      <c r="N82" s="27"/>
      <c r="O82" s="27"/>
      <c r="P82" s="27"/>
      <c r="Q82" s="27"/>
      <c r="R82" s="27"/>
      <c r="S82" s="27"/>
    </row>
    <row r="83" spans="2:19" x14ac:dyDescent="0.3">
      <c r="B83" s="263"/>
      <c r="C83" s="264"/>
      <c r="D83" s="5" t="s">
        <v>105</v>
      </c>
      <c r="E83" s="5"/>
      <c r="F83" s="21">
        <v>221</v>
      </c>
      <c r="G83" s="5"/>
      <c r="H83" s="6">
        <v>10</v>
      </c>
      <c r="I83" s="269"/>
      <c r="J83" s="271"/>
      <c r="K83" s="28"/>
      <c r="L83" s="11"/>
      <c r="M83" s="11"/>
      <c r="N83" s="10"/>
      <c r="O83" s="10"/>
      <c r="P83" s="10"/>
      <c r="Q83" s="10"/>
      <c r="R83" s="10"/>
      <c r="S83" s="10"/>
    </row>
    <row r="84" spans="2:19" ht="15.6" x14ac:dyDescent="0.3">
      <c r="B84" s="263"/>
      <c r="C84" s="264"/>
      <c r="D84" s="265" t="s">
        <v>10</v>
      </c>
      <c r="E84" s="265"/>
      <c r="F84" s="265"/>
      <c r="G84" s="265"/>
      <c r="H84" s="4"/>
      <c r="I84" s="269"/>
      <c r="J84" s="271"/>
      <c r="K84" s="28"/>
      <c r="L84" s="11"/>
      <c r="M84" s="11"/>
      <c r="N84" s="10"/>
      <c r="O84" s="10"/>
      <c r="P84" s="10"/>
      <c r="Q84" s="10"/>
      <c r="R84" s="10"/>
      <c r="S84" s="10"/>
    </row>
    <row r="85" spans="2:19" ht="15.6" x14ac:dyDescent="0.3">
      <c r="B85" s="263"/>
      <c r="C85" s="264"/>
      <c r="D85" s="23" t="s">
        <v>3</v>
      </c>
      <c r="E85" s="23" t="s">
        <v>4</v>
      </c>
      <c r="F85" s="24" t="s">
        <v>5</v>
      </c>
      <c r="G85" s="23" t="s">
        <v>6</v>
      </c>
      <c r="H85" s="27"/>
      <c r="I85" s="269"/>
      <c r="J85" s="271"/>
      <c r="K85" s="32"/>
      <c r="L85" s="31"/>
      <c r="M85" s="31"/>
      <c r="N85" s="27"/>
      <c r="O85" s="27"/>
      <c r="P85" s="27"/>
      <c r="Q85" s="27"/>
      <c r="R85" s="27"/>
      <c r="S85" s="27"/>
    </row>
    <row r="86" spans="2:19" x14ac:dyDescent="0.3">
      <c r="B86" s="263"/>
      <c r="C86" s="264"/>
      <c r="D86" s="5" t="s">
        <v>139</v>
      </c>
      <c r="E86" s="5"/>
      <c r="F86" s="21">
        <v>300</v>
      </c>
      <c r="G86" s="5"/>
      <c r="H86" s="6"/>
      <c r="I86" s="269"/>
      <c r="J86" s="271"/>
      <c r="K86" s="28"/>
      <c r="L86" s="11"/>
      <c r="M86" s="11"/>
      <c r="N86" s="10"/>
      <c r="O86" s="10"/>
      <c r="P86" s="10"/>
      <c r="Q86" s="10"/>
      <c r="R86" s="10"/>
      <c r="S86" s="10"/>
    </row>
    <row r="87" spans="2:19" ht="15.6" x14ac:dyDescent="0.3">
      <c r="B87" s="263"/>
      <c r="C87" s="264"/>
      <c r="D87" s="265" t="s">
        <v>11</v>
      </c>
      <c r="E87" s="265"/>
      <c r="F87" s="265"/>
      <c r="G87" s="265"/>
      <c r="H87" s="6"/>
      <c r="I87" s="269"/>
      <c r="J87" s="271"/>
      <c r="K87" s="28"/>
      <c r="L87" s="11"/>
      <c r="M87" s="11"/>
      <c r="N87" s="10"/>
      <c r="O87" s="10"/>
      <c r="P87" s="10"/>
      <c r="Q87" s="10"/>
      <c r="R87" s="10"/>
      <c r="S87" s="10"/>
    </row>
    <row r="88" spans="2:19" ht="15.6" x14ac:dyDescent="0.3">
      <c r="B88" s="263"/>
      <c r="C88" s="264"/>
      <c r="D88" s="23" t="s">
        <v>3</v>
      </c>
      <c r="E88" s="23" t="s">
        <v>4</v>
      </c>
      <c r="F88" s="24" t="s">
        <v>5</v>
      </c>
      <c r="G88" s="23" t="s">
        <v>6</v>
      </c>
      <c r="H88" s="23"/>
      <c r="I88" s="269"/>
      <c r="J88" s="271"/>
      <c r="K88" s="32"/>
      <c r="L88" s="31"/>
      <c r="M88" s="31"/>
      <c r="N88" s="27"/>
      <c r="O88" s="27"/>
      <c r="P88" s="27"/>
      <c r="Q88" s="27"/>
      <c r="R88" s="27"/>
      <c r="S88" s="27"/>
    </row>
    <row r="89" spans="2:19" x14ac:dyDescent="0.3">
      <c r="B89" s="263"/>
      <c r="C89" s="264"/>
      <c r="D89" s="5" t="s">
        <v>90</v>
      </c>
      <c r="E89" s="5"/>
      <c r="F89" s="21">
        <v>325</v>
      </c>
      <c r="G89" s="5"/>
      <c r="H89" s="6">
        <v>10</v>
      </c>
      <c r="I89" s="269"/>
      <c r="J89" s="271"/>
      <c r="K89" s="28"/>
      <c r="L89" s="11"/>
      <c r="M89" s="11"/>
      <c r="N89" s="10"/>
      <c r="O89" s="10"/>
      <c r="P89" s="10"/>
      <c r="Q89" s="10"/>
      <c r="R89" s="10"/>
      <c r="S89" s="10"/>
    </row>
    <row r="90" spans="2:19" ht="15.6" x14ac:dyDescent="0.3">
      <c r="B90" s="263"/>
      <c r="C90" s="264"/>
      <c r="D90" s="265" t="s">
        <v>12</v>
      </c>
      <c r="E90" s="265"/>
      <c r="F90" s="265"/>
      <c r="G90" s="265"/>
      <c r="H90" s="6"/>
      <c r="I90" s="269"/>
      <c r="J90" s="271"/>
      <c r="K90" s="29"/>
      <c r="L90" s="10"/>
      <c r="M90" s="10"/>
      <c r="N90" s="10"/>
      <c r="O90" s="10"/>
      <c r="P90" s="10"/>
      <c r="Q90" s="10"/>
      <c r="R90" s="10"/>
      <c r="S90" s="10"/>
    </row>
    <row r="91" spans="2:19" ht="15.6" x14ac:dyDescent="0.3">
      <c r="B91" s="263"/>
      <c r="C91" s="264"/>
      <c r="D91" s="23" t="s">
        <v>3</v>
      </c>
      <c r="E91" s="23" t="s">
        <v>4</v>
      </c>
      <c r="F91" s="24" t="s">
        <v>5</v>
      </c>
      <c r="G91" s="23" t="s">
        <v>6</v>
      </c>
      <c r="H91" s="27"/>
      <c r="I91" s="269"/>
      <c r="J91" s="271"/>
      <c r="K91" s="33"/>
      <c r="L91" s="27"/>
      <c r="M91" s="27"/>
      <c r="N91" s="27"/>
      <c r="O91" s="27"/>
      <c r="P91" s="27"/>
      <c r="Q91" s="27"/>
      <c r="R91" s="27"/>
      <c r="S91" s="27"/>
    </row>
    <row r="92" spans="2:19" ht="15.6" x14ac:dyDescent="0.3">
      <c r="B92" s="263"/>
      <c r="C92" s="264"/>
      <c r="D92" s="5"/>
      <c r="E92" s="5"/>
      <c r="F92" s="21"/>
      <c r="G92" s="5"/>
      <c r="H92" s="4"/>
      <c r="I92" s="273"/>
      <c r="J92" s="272"/>
      <c r="K92" s="29"/>
      <c r="L92" s="10"/>
      <c r="M92" s="10"/>
      <c r="N92" s="10"/>
      <c r="O92" s="10"/>
      <c r="P92" s="10"/>
      <c r="Q92" s="10"/>
      <c r="R92" s="10"/>
      <c r="S92" s="10"/>
    </row>
    <row r="93" spans="2:19" ht="31.2" x14ac:dyDescent="0.3">
      <c r="B93" s="7"/>
      <c r="C93" s="15"/>
      <c r="D93" s="260" t="s">
        <v>17</v>
      </c>
      <c r="E93" s="260"/>
      <c r="F93" s="260"/>
      <c r="G93" s="260"/>
      <c r="H93" s="260" t="s">
        <v>9</v>
      </c>
      <c r="I93" s="260"/>
      <c r="J93" s="8"/>
      <c r="K93" s="261" t="s">
        <v>13</v>
      </c>
      <c r="L93" s="262"/>
      <c r="M93" s="261" t="s">
        <v>14</v>
      </c>
      <c r="N93" s="262"/>
      <c r="O93" s="8" t="s">
        <v>15</v>
      </c>
      <c r="P93" s="8" t="s">
        <v>101</v>
      </c>
      <c r="Q93" s="8" t="s">
        <v>103</v>
      </c>
      <c r="R93" s="8" t="s">
        <v>104</v>
      </c>
      <c r="S93" s="8" t="s">
        <v>131</v>
      </c>
    </row>
    <row r="94" spans="2:19" ht="15.6" x14ac:dyDescent="0.3">
      <c r="B94" s="7"/>
      <c r="C94" s="15"/>
      <c r="D94" s="260"/>
      <c r="E94" s="260"/>
      <c r="F94" s="260"/>
      <c r="G94" s="260"/>
      <c r="H94" s="4" t="s">
        <v>7</v>
      </c>
      <c r="I94" s="4" t="s">
        <v>8</v>
      </c>
      <c r="J94" s="3" t="s">
        <v>8</v>
      </c>
      <c r="K94" s="26">
        <v>45901</v>
      </c>
      <c r="L94" s="26">
        <v>45992</v>
      </c>
      <c r="M94" s="26">
        <v>45931</v>
      </c>
      <c r="N94" s="30">
        <v>45992</v>
      </c>
      <c r="O94" s="30">
        <v>45992</v>
      </c>
      <c r="P94" s="30">
        <v>45992</v>
      </c>
      <c r="Q94" s="30"/>
      <c r="R94" s="30"/>
      <c r="S94" s="30"/>
    </row>
    <row r="95" spans="2:19" ht="15.6" x14ac:dyDescent="0.3">
      <c r="B95" s="263">
        <v>7</v>
      </c>
      <c r="C95" s="264" t="s">
        <v>95</v>
      </c>
      <c r="D95" s="265" t="s">
        <v>2</v>
      </c>
      <c r="E95" s="265"/>
      <c r="F95" s="265"/>
      <c r="G95" s="265"/>
      <c r="H95" s="6"/>
      <c r="I95" s="268">
        <v>1000</v>
      </c>
      <c r="J95" s="270">
        <v>1500</v>
      </c>
      <c r="K95" s="29"/>
      <c r="L95" s="10"/>
      <c r="M95" s="10"/>
      <c r="N95" s="10"/>
      <c r="O95" s="10"/>
      <c r="P95" s="10"/>
      <c r="Q95" s="10"/>
      <c r="R95" s="10"/>
      <c r="S95" s="10"/>
    </row>
    <row r="96" spans="2:19" ht="15.6" x14ac:dyDescent="0.3">
      <c r="B96" s="263"/>
      <c r="C96" s="264"/>
      <c r="D96" s="23" t="s">
        <v>3</v>
      </c>
      <c r="E96" s="23" t="s">
        <v>4</v>
      </c>
      <c r="F96" s="24" t="s">
        <v>5</v>
      </c>
      <c r="G96" s="23" t="s">
        <v>6</v>
      </c>
      <c r="H96" s="27"/>
      <c r="I96" s="269"/>
      <c r="J96" s="271"/>
      <c r="K96" s="33"/>
      <c r="L96" s="27"/>
      <c r="M96" s="27"/>
      <c r="N96" s="27"/>
      <c r="O96" s="27"/>
      <c r="P96" s="27"/>
      <c r="Q96" s="27"/>
      <c r="R96" s="27"/>
      <c r="S96" s="27"/>
    </row>
    <row r="97" spans="2:19" ht="15.6" x14ac:dyDescent="0.3">
      <c r="B97" s="263"/>
      <c r="C97" s="264"/>
      <c r="D97" s="5" t="s">
        <v>94</v>
      </c>
      <c r="E97" s="5"/>
      <c r="F97" s="21">
        <v>299</v>
      </c>
      <c r="G97" s="5"/>
      <c r="H97" s="4">
        <v>8</v>
      </c>
      <c r="I97" s="269"/>
      <c r="J97" s="271"/>
      <c r="K97" s="29"/>
      <c r="L97" s="10">
        <v>2</v>
      </c>
      <c r="M97" s="10"/>
      <c r="N97" s="10"/>
      <c r="O97" s="10"/>
      <c r="P97" s="10"/>
      <c r="Q97" s="10"/>
      <c r="R97" s="10"/>
      <c r="S97" s="10"/>
    </row>
    <row r="98" spans="2:19" ht="15.6" x14ac:dyDescent="0.3">
      <c r="B98" s="263"/>
      <c r="C98" s="264"/>
      <c r="D98" s="265" t="s">
        <v>10</v>
      </c>
      <c r="E98" s="265"/>
      <c r="F98" s="265"/>
      <c r="G98" s="265"/>
      <c r="H98" s="4"/>
      <c r="I98" s="269"/>
      <c r="J98" s="271"/>
      <c r="K98" s="29"/>
      <c r="L98" s="10"/>
      <c r="M98" s="10"/>
      <c r="N98" s="10"/>
      <c r="O98" s="10"/>
      <c r="P98" s="10"/>
      <c r="Q98" s="10"/>
      <c r="R98" s="10"/>
      <c r="S98" s="10"/>
    </row>
    <row r="99" spans="2:19" ht="15.6" x14ac:dyDescent="0.3">
      <c r="B99" s="263"/>
      <c r="C99" s="264"/>
      <c r="D99" s="23" t="s">
        <v>3</v>
      </c>
      <c r="E99" s="23" t="s">
        <v>4</v>
      </c>
      <c r="F99" s="24" t="s">
        <v>5</v>
      </c>
      <c r="G99" s="23" t="s">
        <v>6</v>
      </c>
      <c r="H99" s="27"/>
      <c r="I99" s="269"/>
      <c r="J99" s="271"/>
      <c r="K99" s="33"/>
      <c r="L99" s="27"/>
      <c r="M99" s="27"/>
      <c r="N99" s="27"/>
      <c r="O99" s="27"/>
      <c r="P99" s="27"/>
      <c r="Q99" s="27"/>
      <c r="R99" s="27"/>
      <c r="S99" s="27"/>
    </row>
    <row r="100" spans="2:19" x14ac:dyDescent="0.3">
      <c r="B100" s="263"/>
      <c r="C100" s="264"/>
      <c r="D100" s="5"/>
      <c r="E100" s="5"/>
      <c r="F100" s="21"/>
      <c r="G100" s="5"/>
      <c r="H100" s="6"/>
      <c r="I100" s="269"/>
      <c r="J100" s="271"/>
      <c r="K100" s="29"/>
      <c r="L100" s="10"/>
      <c r="M100" s="10"/>
      <c r="N100" s="10"/>
      <c r="O100" s="10"/>
      <c r="P100" s="10"/>
      <c r="Q100" s="10"/>
      <c r="R100" s="10"/>
      <c r="S100" s="10"/>
    </row>
    <row r="101" spans="2:19" ht="31.2" x14ac:dyDescent="0.3">
      <c r="B101" s="7"/>
      <c r="C101" s="15"/>
      <c r="D101" s="260" t="s">
        <v>17</v>
      </c>
      <c r="E101" s="260"/>
      <c r="F101" s="260"/>
      <c r="G101" s="260"/>
      <c r="H101" s="260" t="s">
        <v>9</v>
      </c>
      <c r="I101" s="260"/>
      <c r="J101" s="8"/>
      <c r="K101" s="261" t="s">
        <v>13</v>
      </c>
      <c r="L101" s="262"/>
      <c r="M101" s="261" t="s">
        <v>14</v>
      </c>
      <c r="N101" s="262"/>
      <c r="O101" s="8" t="s">
        <v>15</v>
      </c>
      <c r="P101" s="8" t="s">
        <v>101</v>
      </c>
      <c r="Q101" s="8" t="s">
        <v>103</v>
      </c>
      <c r="R101" s="8" t="s">
        <v>104</v>
      </c>
      <c r="S101" s="8" t="s">
        <v>131</v>
      </c>
    </row>
    <row r="102" spans="2:19" ht="15.6" x14ac:dyDescent="0.3">
      <c r="B102" s="7"/>
      <c r="C102" s="15"/>
      <c r="D102" s="260"/>
      <c r="E102" s="260"/>
      <c r="F102" s="260"/>
      <c r="G102" s="260"/>
      <c r="H102" s="4" t="s">
        <v>7</v>
      </c>
      <c r="I102" s="4" t="s">
        <v>8</v>
      </c>
      <c r="J102" s="3" t="s">
        <v>8</v>
      </c>
      <c r="K102" s="26">
        <v>45901</v>
      </c>
      <c r="L102" s="26">
        <v>45992</v>
      </c>
      <c r="M102" s="26">
        <v>45931</v>
      </c>
      <c r="N102" s="30">
        <v>45992</v>
      </c>
      <c r="O102" s="30">
        <v>45992</v>
      </c>
      <c r="P102" s="30">
        <v>45992</v>
      </c>
      <c r="Q102" s="30"/>
      <c r="R102" s="30"/>
      <c r="S102" s="30"/>
    </row>
    <row r="103" spans="2:19" ht="15.6" x14ac:dyDescent="0.3">
      <c r="B103" s="263">
        <v>8</v>
      </c>
      <c r="C103" s="264" t="s">
        <v>107</v>
      </c>
      <c r="D103" s="265" t="s">
        <v>2</v>
      </c>
      <c r="E103" s="265"/>
      <c r="F103" s="265"/>
      <c r="G103" s="265"/>
      <c r="H103" s="6"/>
      <c r="I103" s="268">
        <v>1000</v>
      </c>
      <c r="J103" s="270">
        <v>1500</v>
      </c>
      <c r="K103" s="29"/>
      <c r="L103" s="10"/>
      <c r="M103" s="10"/>
      <c r="N103" s="10"/>
      <c r="O103" s="10"/>
      <c r="P103" s="10"/>
      <c r="Q103" s="10"/>
      <c r="R103" s="10"/>
      <c r="S103" s="10"/>
    </row>
    <row r="104" spans="2:19" ht="15.6" x14ac:dyDescent="0.3">
      <c r="B104" s="263"/>
      <c r="C104" s="264"/>
      <c r="D104" s="23" t="s">
        <v>3</v>
      </c>
      <c r="E104" s="23" t="s">
        <v>4</v>
      </c>
      <c r="F104" s="24" t="s">
        <v>5</v>
      </c>
      <c r="G104" s="23" t="s">
        <v>6</v>
      </c>
      <c r="H104" s="27"/>
      <c r="I104" s="269"/>
      <c r="J104" s="271"/>
      <c r="K104" s="33"/>
      <c r="L104" s="27"/>
      <c r="M104" s="27"/>
      <c r="N104" s="27"/>
      <c r="O104" s="27"/>
      <c r="P104" s="27"/>
      <c r="Q104" s="27"/>
      <c r="R104" s="27"/>
      <c r="S104" s="27"/>
    </row>
    <row r="105" spans="2:19" ht="15.6" x14ac:dyDescent="0.3">
      <c r="B105" s="263"/>
      <c r="C105" s="264"/>
      <c r="D105" s="5" t="s">
        <v>108</v>
      </c>
      <c r="E105" s="5"/>
      <c r="F105" s="21">
        <v>800</v>
      </c>
      <c r="G105" s="5"/>
      <c r="H105" s="4"/>
      <c r="I105" s="269"/>
      <c r="J105" s="271"/>
      <c r="K105" s="29"/>
      <c r="L105" s="10"/>
      <c r="M105" s="10"/>
      <c r="N105" s="10"/>
      <c r="O105" s="10"/>
      <c r="P105" s="10"/>
      <c r="Q105" s="10"/>
      <c r="R105" s="10"/>
      <c r="S105" s="10"/>
    </row>
    <row r="106" spans="2:19" ht="15.6" x14ac:dyDescent="0.3">
      <c r="B106" s="263"/>
      <c r="C106" s="264"/>
      <c r="D106" s="265" t="s">
        <v>10</v>
      </c>
      <c r="E106" s="265"/>
      <c r="F106" s="265"/>
      <c r="G106" s="265"/>
      <c r="H106" s="4"/>
      <c r="I106" s="269"/>
      <c r="J106" s="271"/>
      <c r="K106" s="29"/>
      <c r="L106" s="10"/>
      <c r="M106" s="10"/>
      <c r="N106" s="10"/>
      <c r="O106" s="10"/>
      <c r="P106" s="10"/>
      <c r="Q106" s="10"/>
      <c r="R106" s="10"/>
      <c r="S106" s="10"/>
    </row>
    <row r="107" spans="2:19" ht="15.6" x14ac:dyDescent="0.3">
      <c r="B107" s="263"/>
      <c r="C107" s="264"/>
      <c r="D107" s="23" t="s">
        <v>3</v>
      </c>
      <c r="E107" s="23" t="s">
        <v>4</v>
      </c>
      <c r="F107" s="24" t="s">
        <v>5</v>
      </c>
      <c r="G107" s="23" t="s">
        <v>6</v>
      </c>
      <c r="H107" s="27"/>
      <c r="I107" s="269"/>
      <c r="J107" s="271"/>
      <c r="K107" s="33"/>
      <c r="L107" s="27"/>
      <c r="M107" s="27"/>
      <c r="N107" s="27"/>
      <c r="O107" s="27"/>
      <c r="P107" s="27"/>
      <c r="Q107" s="27"/>
      <c r="R107" s="27"/>
      <c r="S107" s="27"/>
    </row>
    <row r="108" spans="2:19" x14ac:dyDescent="0.3">
      <c r="B108" s="263"/>
      <c r="C108" s="264"/>
      <c r="D108" s="5"/>
      <c r="E108" s="5"/>
      <c r="F108" s="21"/>
      <c r="G108" s="5"/>
      <c r="H108" s="6"/>
      <c r="I108" s="269"/>
      <c r="J108" s="271"/>
      <c r="K108" s="29"/>
      <c r="L108" s="10"/>
      <c r="M108" s="10"/>
      <c r="N108" s="10"/>
      <c r="O108" s="10"/>
      <c r="P108" s="10"/>
      <c r="Q108" s="10"/>
      <c r="R108" s="10"/>
      <c r="S108" s="10"/>
    </row>
    <row r="109" spans="2:19" ht="31.2" x14ac:dyDescent="0.3">
      <c r="B109" s="7"/>
      <c r="C109" s="15"/>
      <c r="D109" s="260" t="s">
        <v>17</v>
      </c>
      <c r="E109" s="260"/>
      <c r="F109" s="260"/>
      <c r="G109" s="260"/>
      <c r="H109" s="260" t="s">
        <v>9</v>
      </c>
      <c r="I109" s="260"/>
      <c r="J109" s="8"/>
      <c r="K109" s="261" t="s">
        <v>13</v>
      </c>
      <c r="L109" s="262"/>
      <c r="M109" s="261" t="s">
        <v>14</v>
      </c>
      <c r="N109" s="262"/>
      <c r="O109" s="8" t="s">
        <v>15</v>
      </c>
      <c r="P109" s="8" t="s">
        <v>101</v>
      </c>
      <c r="Q109" s="8" t="s">
        <v>103</v>
      </c>
      <c r="R109" s="8" t="s">
        <v>104</v>
      </c>
      <c r="S109" s="8" t="s">
        <v>131</v>
      </c>
    </row>
    <row r="110" spans="2:19" ht="15.6" x14ac:dyDescent="0.3">
      <c r="B110" s="7"/>
      <c r="C110" s="15"/>
      <c r="D110" s="260"/>
      <c r="E110" s="260"/>
      <c r="F110" s="260"/>
      <c r="G110" s="260"/>
      <c r="H110" s="4" t="s">
        <v>7</v>
      </c>
      <c r="I110" s="4" t="s">
        <v>8</v>
      </c>
      <c r="J110" s="3" t="s">
        <v>8</v>
      </c>
      <c r="K110" s="26">
        <v>45901</v>
      </c>
      <c r="L110" s="26">
        <v>45992</v>
      </c>
      <c r="M110" s="26">
        <v>45931</v>
      </c>
      <c r="N110" s="30">
        <v>45992</v>
      </c>
      <c r="O110" s="30">
        <v>45992</v>
      </c>
      <c r="P110" s="30">
        <v>45992</v>
      </c>
      <c r="Q110" s="30"/>
      <c r="R110" s="30"/>
      <c r="S110" s="30"/>
    </row>
    <row r="111" spans="2:19" ht="15.6" x14ac:dyDescent="0.3">
      <c r="B111" s="263">
        <v>9</v>
      </c>
      <c r="C111" s="264" t="s">
        <v>23</v>
      </c>
      <c r="D111" s="265" t="s">
        <v>2</v>
      </c>
      <c r="E111" s="265"/>
      <c r="F111" s="265"/>
      <c r="G111" s="265"/>
      <c r="H111" s="6"/>
      <c r="I111" s="268">
        <v>1000</v>
      </c>
      <c r="J111" s="270">
        <v>500</v>
      </c>
      <c r="K111" s="29"/>
      <c r="L111" s="10"/>
      <c r="M111" s="10"/>
      <c r="N111" s="10"/>
      <c r="O111" s="10"/>
      <c r="P111" s="10"/>
      <c r="Q111" s="10"/>
      <c r="R111" s="10"/>
      <c r="S111" s="10"/>
    </row>
    <row r="112" spans="2:19" ht="15.6" x14ac:dyDescent="0.3">
      <c r="B112" s="263"/>
      <c r="C112" s="264"/>
      <c r="D112" s="23" t="s">
        <v>3</v>
      </c>
      <c r="E112" s="23" t="s">
        <v>4</v>
      </c>
      <c r="F112" s="24" t="s">
        <v>5</v>
      </c>
      <c r="G112" s="23" t="s">
        <v>6</v>
      </c>
      <c r="H112" s="27"/>
      <c r="I112" s="269"/>
      <c r="J112" s="271"/>
      <c r="K112" s="27"/>
      <c r="L112" s="27"/>
      <c r="M112" s="27"/>
      <c r="N112" s="27"/>
      <c r="O112" s="27"/>
      <c r="P112" s="27"/>
      <c r="Q112" s="27"/>
      <c r="R112" s="27"/>
      <c r="S112" s="27"/>
    </row>
    <row r="113" spans="2:19" x14ac:dyDescent="0.3">
      <c r="B113" s="263"/>
      <c r="C113" s="264"/>
      <c r="D113" s="5" t="s">
        <v>83</v>
      </c>
      <c r="E113" s="5" t="s">
        <v>38</v>
      </c>
      <c r="F113" s="21">
        <v>195</v>
      </c>
      <c r="G113" s="5"/>
      <c r="H113" s="6">
        <v>5</v>
      </c>
      <c r="I113" s="269"/>
      <c r="J113" s="271"/>
      <c r="K113" s="10">
        <v>2</v>
      </c>
      <c r="L113" s="10"/>
      <c r="M113" s="10"/>
      <c r="N113" s="10">
        <v>2</v>
      </c>
      <c r="O113" s="10">
        <v>1</v>
      </c>
      <c r="P113" s="10"/>
      <c r="Q113" s="10">
        <v>2</v>
      </c>
      <c r="R113" s="10"/>
      <c r="S113" s="10"/>
    </row>
    <row r="114" spans="2:19" ht="15.6" x14ac:dyDescent="0.3">
      <c r="B114" s="263"/>
      <c r="C114" s="264"/>
      <c r="D114" s="265" t="s">
        <v>10</v>
      </c>
      <c r="E114" s="265"/>
      <c r="F114" s="265"/>
      <c r="G114" s="265"/>
      <c r="H114" s="4"/>
      <c r="I114" s="269"/>
      <c r="J114" s="271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2:19" ht="15.6" x14ac:dyDescent="0.3">
      <c r="B115" s="263"/>
      <c r="C115" s="264"/>
      <c r="D115" s="23" t="s">
        <v>3</v>
      </c>
      <c r="E115" s="23" t="s">
        <v>4</v>
      </c>
      <c r="F115" s="24" t="s">
        <v>5</v>
      </c>
      <c r="G115" s="23" t="s">
        <v>6</v>
      </c>
      <c r="H115" s="27"/>
      <c r="I115" s="269"/>
      <c r="J115" s="271"/>
      <c r="K115" s="27"/>
      <c r="L115" s="27"/>
      <c r="M115" s="27"/>
      <c r="N115" s="27"/>
      <c r="O115" s="27"/>
      <c r="P115" s="27"/>
      <c r="Q115" s="27"/>
      <c r="R115" s="27"/>
      <c r="S115" s="27"/>
    </row>
    <row r="116" spans="2:19" x14ac:dyDescent="0.3">
      <c r="B116" s="263"/>
      <c r="C116" s="264"/>
      <c r="D116" s="5" t="s">
        <v>84</v>
      </c>
      <c r="E116" s="5" t="s">
        <v>38</v>
      </c>
      <c r="F116" s="21">
        <v>350</v>
      </c>
      <c r="G116" s="5"/>
      <c r="H116" s="6">
        <v>15</v>
      </c>
      <c r="I116" s="269"/>
      <c r="J116" s="271"/>
      <c r="K116" s="10">
        <v>2</v>
      </c>
      <c r="L116" s="10"/>
      <c r="M116" s="10"/>
      <c r="N116" s="10"/>
      <c r="O116" s="10"/>
      <c r="P116" s="10"/>
      <c r="Q116" s="10"/>
      <c r="R116" s="10"/>
      <c r="S116" s="10"/>
    </row>
    <row r="117" spans="2:19" ht="31.2" x14ac:dyDescent="0.3">
      <c r="B117" s="7"/>
      <c r="C117" s="15"/>
      <c r="D117" s="260" t="s">
        <v>17</v>
      </c>
      <c r="E117" s="260"/>
      <c r="F117" s="260"/>
      <c r="G117" s="260"/>
      <c r="H117" s="260" t="s">
        <v>9</v>
      </c>
      <c r="I117" s="260"/>
      <c r="J117" s="8"/>
      <c r="K117" s="261" t="s">
        <v>13</v>
      </c>
      <c r="L117" s="262"/>
      <c r="M117" s="261" t="s">
        <v>14</v>
      </c>
      <c r="N117" s="262"/>
      <c r="O117" s="8" t="s">
        <v>15</v>
      </c>
      <c r="P117" s="8" t="s">
        <v>101</v>
      </c>
      <c r="Q117" s="8" t="s">
        <v>103</v>
      </c>
      <c r="R117" s="8" t="s">
        <v>104</v>
      </c>
      <c r="S117" s="8" t="s">
        <v>131</v>
      </c>
    </row>
    <row r="118" spans="2:19" ht="15.6" x14ac:dyDescent="0.3">
      <c r="B118" s="7"/>
      <c r="C118" s="15"/>
      <c r="D118" s="260"/>
      <c r="E118" s="260"/>
      <c r="F118" s="260"/>
      <c r="G118" s="260"/>
      <c r="H118" s="4" t="s">
        <v>7</v>
      </c>
      <c r="I118" s="4" t="s">
        <v>8</v>
      </c>
      <c r="J118" s="3" t="s">
        <v>8</v>
      </c>
      <c r="K118" s="26">
        <v>45901</v>
      </c>
      <c r="L118" s="26">
        <v>45992</v>
      </c>
      <c r="M118" s="26">
        <v>45931</v>
      </c>
      <c r="N118" s="30">
        <v>45992</v>
      </c>
      <c r="O118" s="30">
        <v>45992</v>
      </c>
      <c r="P118" s="30">
        <v>45992</v>
      </c>
      <c r="Q118" s="30"/>
      <c r="R118" s="30"/>
      <c r="S118" s="30"/>
    </row>
    <row r="119" spans="2:19" ht="15.6" x14ac:dyDescent="0.3">
      <c r="B119" s="263">
        <v>10</v>
      </c>
      <c r="C119" s="264" t="s">
        <v>24</v>
      </c>
      <c r="D119" s="265" t="s">
        <v>2</v>
      </c>
      <c r="E119" s="265"/>
      <c r="F119" s="265"/>
      <c r="G119" s="265"/>
      <c r="H119" s="6"/>
      <c r="I119" s="268">
        <v>1000</v>
      </c>
      <c r="J119" s="270">
        <v>1500</v>
      </c>
      <c r="K119" s="29"/>
      <c r="L119" s="10"/>
      <c r="M119" s="10"/>
      <c r="N119" s="10"/>
      <c r="O119" s="10"/>
      <c r="P119" s="10"/>
      <c r="Q119" s="10"/>
      <c r="R119" s="10"/>
      <c r="S119" s="10"/>
    </row>
    <row r="120" spans="2:19" ht="15.6" x14ac:dyDescent="0.3">
      <c r="B120" s="263"/>
      <c r="C120" s="264"/>
      <c r="D120" s="23" t="s">
        <v>3</v>
      </c>
      <c r="E120" s="23" t="s">
        <v>4</v>
      </c>
      <c r="F120" s="24" t="s">
        <v>5</v>
      </c>
      <c r="G120" s="23" t="s">
        <v>6</v>
      </c>
      <c r="H120" s="27"/>
      <c r="I120" s="269"/>
      <c r="J120" s="271"/>
      <c r="K120" s="27"/>
      <c r="L120" s="27"/>
      <c r="M120" s="27"/>
      <c r="N120" s="27"/>
      <c r="O120" s="27"/>
      <c r="P120" s="27"/>
      <c r="Q120" s="27"/>
      <c r="R120" s="27"/>
      <c r="S120" s="27"/>
    </row>
    <row r="121" spans="2:19" x14ac:dyDescent="0.3">
      <c r="B121" s="263"/>
      <c r="C121" s="264"/>
      <c r="D121" s="5" t="s">
        <v>85</v>
      </c>
      <c r="E121" s="5" t="s">
        <v>34</v>
      </c>
      <c r="F121" s="21">
        <v>999</v>
      </c>
      <c r="G121" s="5"/>
      <c r="H121" s="6">
        <v>20</v>
      </c>
      <c r="I121" s="269"/>
      <c r="J121" s="271"/>
      <c r="K121" s="10">
        <v>2</v>
      </c>
      <c r="L121" s="10">
        <v>4</v>
      </c>
      <c r="M121" s="10">
        <v>1</v>
      </c>
      <c r="N121" s="10">
        <v>6</v>
      </c>
      <c r="O121" s="10">
        <v>3</v>
      </c>
      <c r="P121" s="10">
        <v>1</v>
      </c>
      <c r="Q121" s="10">
        <v>4</v>
      </c>
      <c r="R121" s="10">
        <v>2</v>
      </c>
      <c r="S121" s="10"/>
    </row>
    <row r="122" spans="2:19" ht="15.6" x14ac:dyDescent="0.3">
      <c r="B122" s="263"/>
      <c r="C122" s="264"/>
      <c r="D122" s="265" t="s">
        <v>10</v>
      </c>
      <c r="E122" s="265"/>
      <c r="F122" s="265"/>
      <c r="G122" s="265"/>
      <c r="H122" s="4"/>
      <c r="I122" s="269"/>
      <c r="J122" s="271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2:19" ht="15.6" x14ac:dyDescent="0.3">
      <c r="B123" s="263"/>
      <c r="C123" s="264"/>
      <c r="D123" s="23" t="s">
        <v>3</v>
      </c>
      <c r="E123" s="23" t="s">
        <v>4</v>
      </c>
      <c r="F123" s="24" t="s">
        <v>5</v>
      </c>
      <c r="G123" s="23" t="s">
        <v>6</v>
      </c>
      <c r="H123" s="27"/>
      <c r="I123" s="269"/>
      <c r="J123" s="271"/>
      <c r="K123" s="27"/>
      <c r="L123" s="27"/>
      <c r="M123" s="27"/>
      <c r="N123" s="27"/>
      <c r="O123" s="27"/>
      <c r="P123" s="27"/>
      <c r="Q123" s="27"/>
      <c r="R123" s="27"/>
      <c r="S123" s="27"/>
    </row>
    <row r="124" spans="2:19" x14ac:dyDescent="0.3">
      <c r="B124" s="263"/>
      <c r="C124" s="264"/>
      <c r="D124" s="5"/>
      <c r="E124" s="5"/>
      <c r="F124" s="21"/>
      <c r="G124" s="5"/>
      <c r="H124" s="6"/>
      <c r="I124" s="269"/>
      <c r="J124" s="271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2:19" ht="31.2" x14ac:dyDescent="0.3">
      <c r="B125" s="7"/>
      <c r="C125" s="15"/>
      <c r="D125" s="260" t="s">
        <v>17</v>
      </c>
      <c r="E125" s="260"/>
      <c r="F125" s="260"/>
      <c r="G125" s="260"/>
      <c r="H125" s="260" t="s">
        <v>9</v>
      </c>
      <c r="I125" s="260"/>
      <c r="J125" s="8"/>
      <c r="K125" s="261" t="s">
        <v>13</v>
      </c>
      <c r="L125" s="262"/>
      <c r="M125" s="261" t="s">
        <v>14</v>
      </c>
      <c r="N125" s="262"/>
      <c r="O125" s="8" t="s">
        <v>15</v>
      </c>
      <c r="P125" s="8" t="s">
        <v>101</v>
      </c>
      <c r="Q125" s="8" t="s">
        <v>103</v>
      </c>
      <c r="R125" s="8" t="s">
        <v>104</v>
      </c>
      <c r="S125" s="8" t="s">
        <v>131</v>
      </c>
    </row>
    <row r="126" spans="2:19" ht="15.6" x14ac:dyDescent="0.3">
      <c r="B126" s="7"/>
      <c r="C126" s="15"/>
      <c r="D126" s="260"/>
      <c r="E126" s="260"/>
      <c r="F126" s="260"/>
      <c r="G126" s="260"/>
      <c r="H126" s="4" t="s">
        <v>7</v>
      </c>
      <c r="I126" s="4" t="s">
        <v>8</v>
      </c>
      <c r="J126" s="3" t="s">
        <v>8</v>
      </c>
      <c r="K126" s="26">
        <v>45901</v>
      </c>
      <c r="L126" s="26">
        <v>45992</v>
      </c>
      <c r="M126" s="26">
        <v>45931</v>
      </c>
      <c r="N126" s="30">
        <v>45992</v>
      </c>
      <c r="O126" s="30">
        <v>45992</v>
      </c>
      <c r="P126" s="30">
        <v>45992</v>
      </c>
      <c r="Q126" s="30"/>
      <c r="R126" s="30"/>
      <c r="S126" s="30"/>
    </row>
    <row r="127" spans="2:19" ht="15.6" x14ac:dyDescent="0.3">
      <c r="B127" s="263">
        <v>11</v>
      </c>
      <c r="C127" s="264" t="s">
        <v>25</v>
      </c>
      <c r="D127" s="265" t="s">
        <v>2</v>
      </c>
      <c r="E127" s="265"/>
      <c r="F127" s="265"/>
      <c r="G127" s="265"/>
      <c r="H127" s="6"/>
      <c r="I127" s="268"/>
      <c r="J127" s="270"/>
      <c r="K127" s="29"/>
      <c r="L127" s="10"/>
      <c r="M127" s="10"/>
      <c r="N127" s="10"/>
      <c r="O127" s="10"/>
      <c r="P127" s="10"/>
      <c r="Q127" s="10"/>
      <c r="R127" s="10"/>
      <c r="S127" s="10"/>
    </row>
    <row r="128" spans="2:19" ht="15.6" x14ac:dyDescent="0.3">
      <c r="B128" s="263"/>
      <c r="C128" s="264"/>
      <c r="D128" s="23" t="s">
        <v>3</v>
      </c>
      <c r="E128" s="23" t="s">
        <v>4</v>
      </c>
      <c r="F128" s="24" t="s">
        <v>5</v>
      </c>
      <c r="G128" s="23" t="s">
        <v>6</v>
      </c>
      <c r="H128" s="27"/>
      <c r="I128" s="269"/>
      <c r="J128" s="271"/>
      <c r="K128" s="33"/>
      <c r="L128" s="27"/>
      <c r="M128" s="27"/>
      <c r="N128" s="27"/>
      <c r="O128" s="27"/>
      <c r="P128" s="27"/>
      <c r="Q128" s="27"/>
      <c r="R128" s="27"/>
      <c r="S128" s="27"/>
    </row>
    <row r="129" spans="2:19" ht="15.6" x14ac:dyDescent="0.3">
      <c r="B129" s="263"/>
      <c r="C129" s="264"/>
      <c r="D129" s="5"/>
      <c r="E129" s="5"/>
      <c r="F129" s="21"/>
      <c r="G129" s="5"/>
      <c r="H129" s="4"/>
      <c r="I129" s="269"/>
      <c r="J129" s="271"/>
      <c r="K129" s="29"/>
      <c r="L129" s="10"/>
      <c r="M129" s="10"/>
      <c r="N129" s="10"/>
      <c r="O129" s="10"/>
      <c r="P129" s="10"/>
      <c r="Q129" s="10"/>
      <c r="R129" s="10"/>
      <c r="S129" s="10"/>
    </row>
    <row r="130" spans="2:19" ht="15.6" x14ac:dyDescent="0.3">
      <c r="B130" s="263"/>
      <c r="C130" s="264"/>
      <c r="D130" s="265" t="s">
        <v>10</v>
      </c>
      <c r="E130" s="265"/>
      <c r="F130" s="265"/>
      <c r="G130" s="265"/>
      <c r="H130" s="4"/>
      <c r="I130" s="269"/>
      <c r="J130" s="271"/>
      <c r="K130" s="29"/>
      <c r="L130" s="10"/>
      <c r="M130" s="10"/>
      <c r="N130" s="10"/>
      <c r="O130" s="10"/>
      <c r="P130" s="10"/>
      <c r="Q130" s="10"/>
      <c r="R130" s="10"/>
      <c r="S130" s="10"/>
    </row>
    <row r="131" spans="2:19" ht="15.6" x14ac:dyDescent="0.3">
      <c r="B131" s="263"/>
      <c r="C131" s="264"/>
      <c r="D131" s="23" t="s">
        <v>3</v>
      </c>
      <c r="E131" s="23" t="s">
        <v>4</v>
      </c>
      <c r="F131" s="24" t="s">
        <v>5</v>
      </c>
      <c r="G131" s="23" t="s">
        <v>6</v>
      </c>
      <c r="H131" s="27"/>
      <c r="I131" s="269"/>
      <c r="J131" s="271"/>
      <c r="K131" s="33"/>
      <c r="L131" s="27"/>
      <c r="M131" s="27"/>
      <c r="N131" s="27"/>
      <c r="O131" s="27"/>
      <c r="P131" s="27"/>
      <c r="Q131" s="27"/>
      <c r="R131" s="27"/>
      <c r="S131" s="27"/>
    </row>
    <row r="132" spans="2:19" x14ac:dyDescent="0.3">
      <c r="B132" s="263"/>
      <c r="C132" s="264"/>
      <c r="D132" s="5"/>
      <c r="E132" s="5"/>
      <c r="F132" s="21"/>
      <c r="G132" s="5"/>
      <c r="H132" s="6"/>
      <c r="I132" s="269"/>
      <c r="J132" s="271"/>
      <c r="K132" s="29"/>
      <c r="L132" s="10"/>
      <c r="M132" s="10"/>
      <c r="N132" s="10"/>
      <c r="O132" s="10"/>
      <c r="P132" s="10"/>
      <c r="Q132" s="10"/>
      <c r="R132" s="10"/>
      <c r="S132" s="10"/>
    </row>
    <row r="133" spans="2:19" ht="15.6" x14ac:dyDescent="0.3">
      <c r="B133" s="263"/>
      <c r="C133" s="264"/>
      <c r="D133" s="265" t="s">
        <v>11</v>
      </c>
      <c r="E133" s="265"/>
      <c r="F133" s="265"/>
      <c r="G133" s="265"/>
      <c r="H133" s="6"/>
      <c r="I133" s="269"/>
      <c r="J133" s="271"/>
      <c r="K133" s="29"/>
      <c r="L133" s="10"/>
      <c r="M133" s="10"/>
      <c r="N133" s="10"/>
      <c r="O133" s="10"/>
      <c r="P133" s="10"/>
      <c r="Q133" s="10"/>
      <c r="R133" s="10"/>
      <c r="S133" s="10"/>
    </row>
    <row r="134" spans="2:19" ht="15.6" x14ac:dyDescent="0.3">
      <c r="B134" s="263"/>
      <c r="C134" s="264"/>
      <c r="D134" s="23" t="s">
        <v>3</v>
      </c>
      <c r="E134" s="23" t="s">
        <v>4</v>
      </c>
      <c r="F134" s="24" t="s">
        <v>5</v>
      </c>
      <c r="G134" s="23" t="s">
        <v>6</v>
      </c>
      <c r="H134" s="23"/>
      <c r="I134" s="269"/>
      <c r="J134" s="271"/>
      <c r="K134" s="33"/>
      <c r="L134" s="27"/>
      <c r="M134" s="27"/>
      <c r="N134" s="27"/>
      <c r="O134" s="27"/>
      <c r="P134" s="27"/>
      <c r="Q134" s="27"/>
      <c r="R134" s="27"/>
      <c r="S134" s="27"/>
    </row>
    <row r="135" spans="2:19" ht="15.6" x14ac:dyDescent="0.3">
      <c r="B135" s="263"/>
      <c r="C135" s="264"/>
      <c r="D135" s="2"/>
      <c r="E135" s="2"/>
      <c r="F135" s="20"/>
      <c r="G135" s="2"/>
      <c r="H135" s="6"/>
      <c r="I135" s="269"/>
      <c r="J135" s="271"/>
      <c r="K135" s="29"/>
      <c r="L135" s="10"/>
      <c r="M135" s="10"/>
      <c r="N135" s="10"/>
      <c r="O135" s="10"/>
      <c r="P135" s="10"/>
      <c r="Q135" s="10"/>
      <c r="R135" s="10"/>
      <c r="S135" s="10"/>
    </row>
    <row r="136" spans="2:19" ht="31.2" x14ac:dyDescent="0.3">
      <c r="B136" s="7"/>
      <c r="C136" s="15"/>
      <c r="D136" s="260" t="s">
        <v>17</v>
      </c>
      <c r="E136" s="260"/>
      <c r="F136" s="260"/>
      <c r="G136" s="260"/>
      <c r="H136" s="260" t="s">
        <v>9</v>
      </c>
      <c r="I136" s="260"/>
      <c r="J136" s="8"/>
      <c r="K136" s="261" t="s">
        <v>13</v>
      </c>
      <c r="L136" s="262"/>
      <c r="M136" s="261" t="s">
        <v>14</v>
      </c>
      <c r="N136" s="262"/>
      <c r="O136" s="8" t="s">
        <v>15</v>
      </c>
      <c r="P136" s="8" t="s">
        <v>101</v>
      </c>
      <c r="Q136" s="8" t="s">
        <v>103</v>
      </c>
      <c r="R136" s="8" t="s">
        <v>104</v>
      </c>
      <c r="S136" s="8" t="s">
        <v>131</v>
      </c>
    </row>
    <row r="137" spans="2:19" ht="15.6" x14ac:dyDescent="0.3">
      <c r="B137" s="7"/>
      <c r="C137" s="15"/>
      <c r="D137" s="260"/>
      <c r="E137" s="260"/>
      <c r="F137" s="260"/>
      <c r="G137" s="260"/>
      <c r="H137" s="4" t="s">
        <v>7</v>
      </c>
      <c r="I137" s="4" t="s">
        <v>8</v>
      </c>
      <c r="J137" s="3" t="s">
        <v>8</v>
      </c>
      <c r="K137" s="26">
        <v>45901</v>
      </c>
      <c r="L137" s="26">
        <v>45992</v>
      </c>
      <c r="M137" s="26">
        <v>45931</v>
      </c>
      <c r="N137" s="30">
        <v>45992</v>
      </c>
      <c r="O137" s="30">
        <v>45992</v>
      </c>
      <c r="P137" s="30">
        <v>45992</v>
      </c>
      <c r="Q137" s="30"/>
      <c r="R137" s="30"/>
      <c r="S137" s="30"/>
    </row>
    <row r="138" spans="2:19" ht="15.6" x14ac:dyDescent="0.3">
      <c r="B138" s="274">
        <v>12</v>
      </c>
      <c r="C138" s="275" t="s">
        <v>122</v>
      </c>
      <c r="D138" s="276" t="s">
        <v>2</v>
      </c>
      <c r="E138" s="276"/>
      <c r="F138" s="276"/>
      <c r="G138" s="276"/>
      <c r="H138" s="17"/>
      <c r="I138" s="273">
        <v>1000</v>
      </c>
      <c r="J138" s="272"/>
      <c r="K138" s="18"/>
      <c r="L138" s="18"/>
      <c r="M138" s="18"/>
      <c r="N138" s="19"/>
      <c r="O138" s="19"/>
      <c r="P138" s="10"/>
      <c r="Q138" s="10"/>
      <c r="R138" s="10"/>
      <c r="S138" s="10"/>
    </row>
    <row r="139" spans="2:19" ht="15.6" x14ac:dyDescent="0.3">
      <c r="B139" s="263"/>
      <c r="C139" s="264"/>
      <c r="D139" s="23" t="s">
        <v>3</v>
      </c>
      <c r="E139" s="23" t="s">
        <v>4</v>
      </c>
      <c r="F139" s="24" t="s">
        <v>5</v>
      </c>
      <c r="G139" s="23" t="s">
        <v>6</v>
      </c>
      <c r="H139" s="23"/>
      <c r="I139" s="266"/>
      <c r="J139" s="267"/>
      <c r="K139" s="31"/>
      <c r="L139" s="31"/>
      <c r="M139" s="31"/>
      <c r="N139" s="27"/>
      <c r="O139" s="27"/>
      <c r="P139" s="27"/>
      <c r="Q139" s="27"/>
      <c r="R139" s="27"/>
      <c r="S139" s="27"/>
    </row>
    <row r="140" spans="2:19" x14ac:dyDescent="0.3">
      <c r="B140" s="263"/>
      <c r="C140" s="264"/>
      <c r="D140" s="5" t="s">
        <v>123</v>
      </c>
      <c r="E140" s="5"/>
      <c r="F140" s="21">
        <v>249</v>
      </c>
      <c r="G140" s="5"/>
      <c r="H140" s="6"/>
      <c r="I140" s="266"/>
      <c r="J140" s="267"/>
      <c r="K140" s="11"/>
      <c r="L140" s="11"/>
      <c r="M140" s="11"/>
      <c r="N140" s="10"/>
      <c r="O140" s="10"/>
      <c r="P140" s="10"/>
      <c r="Q140" s="10"/>
      <c r="R140" s="10"/>
      <c r="S140" s="10"/>
    </row>
    <row r="141" spans="2:19" ht="15.6" x14ac:dyDescent="0.3">
      <c r="B141" s="263"/>
      <c r="C141" s="264"/>
      <c r="D141" s="265" t="s">
        <v>10</v>
      </c>
      <c r="E141" s="265"/>
      <c r="F141" s="265"/>
      <c r="G141" s="265"/>
      <c r="H141" s="6"/>
      <c r="I141" s="266"/>
      <c r="J141" s="267"/>
      <c r="K141" s="11"/>
      <c r="L141" s="11"/>
      <c r="M141" s="11"/>
      <c r="N141" s="10"/>
      <c r="O141" s="10"/>
      <c r="P141" s="10"/>
      <c r="Q141" s="10"/>
      <c r="R141" s="10"/>
      <c r="S141" s="10"/>
    </row>
    <row r="142" spans="2:19" ht="15.6" x14ac:dyDescent="0.3">
      <c r="B142" s="263"/>
      <c r="C142" s="264"/>
      <c r="D142" s="2" t="s">
        <v>3</v>
      </c>
      <c r="E142" s="2" t="s">
        <v>4</v>
      </c>
      <c r="F142" s="20" t="s">
        <v>5</v>
      </c>
      <c r="G142" s="2" t="s">
        <v>6</v>
      </c>
      <c r="H142" s="23"/>
      <c r="I142" s="266"/>
      <c r="J142" s="267"/>
      <c r="K142" s="31"/>
      <c r="L142" s="31"/>
      <c r="M142" s="31"/>
      <c r="N142" s="27"/>
      <c r="O142" s="27"/>
      <c r="P142" s="27"/>
      <c r="Q142" s="27"/>
      <c r="R142" s="27"/>
      <c r="S142" s="27"/>
    </row>
    <row r="143" spans="2:19" x14ac:dyDescent="0.3">
      <c r="B143" s="263"/>
      <c r="C143" s="264"/>
      <c r="D143" s="5"/>
      <c r="E143" s="5"/>
      <c r="F143" s="21"/>
      <c r="G143" s="5"/>
      <c r="H143" s="6"/>
      <c r="I143" s="266"/>
      <c r="J143" s="267"/>
      <c r="K143" s="11"/>
      <c r="L143" s="11"/>
      <c r="M143" s="11"/>
      <c r="N143" s="10"/>
      <c r="O143" s="10"/>
      <c r="P143" s="10"/>
      <c r="Q143" s="10"/>
      <c r="R143" s="10"/>
      <c r="S143" s="10"/>
    </row>
    <row r="144" spans="2:19" ht="31.2" x14ac:dyDescent="0.3">
      <c r="B144" s="7"/>
      <c r="C144" s="15"/>
      <c r="D144" s="260" t="s">
        <v>17</v>
      </c>
      <c r="E144" s="260"/>
      <c r="F144" s="260"/>
      <c r="G144" s="260"/>
      <c r="H144" s="260" t="s">
        <v>9</v>
      </c>
      <c r="I144" s="260"/>
      <c r="J144" s="8"/>
      <c r="K144" s="261" t="s">
        <v>13</v>
      </c>
      <c r="L144" s="262"/>
      <c r="M144" s="261" t="s">
        <v>14</v>
      </c>
      <c r="N144" s="262"/>
      <c r="O144" s="8" t="s">
        <v>15</v>
      </c>
      <c r="P144" s="8" t="s">
        <v>101</v>
      </c>
      <c r="Q144" s="8" t="s">
        <v>103</v>
      </c>
      <c r="R144" s="8" t="s">
        <v>104</v>
      </c>
      <c r="S144" s="8" t="s">
        <v>131</v>
      </c>
    </row>
    <row r="145" spans="2:19" ht="15.6" x14ac:dyDescent="0.3">
      <c r="B145" s="7"/>
      <c r="C145" s="15"/>
      <c r="D145" s="260"/>
      <c r="E145" s="260"/>
      <c r="F145" s="260"/>
      <c r="G145" s="260"/>
      <c r="H145" s="4" t="s">
        <v>7</v>
      </c>
      <c r="I145" s="4" t="s">
        <v>8</v>
      </c>
      <c r="J145" s="3" t="s">
        <v>8</v>
      </c>
      <c r="K145" s="26">
        <v>45901</v>
      </c>
      <c r="L145" s="26">
        <v>45992</v>
      </c>
      <c r="M145" s="26">
        <v>45931</v>
      </c>
      <c r="N145" s="30">
        <v>45992</v>
      </c>
      <c r="O145" s="30">
        <v>45992</v>
      </c>
      <c r="P145" s="30">
        <v>45992</v>
      </c>
      <c r="Q145" s="30"/>
      <c r="R145" s="30"/>
      <c r="S145" s="30"/>
    </row>
    <row r="146" spans="2:19" ht="15.6" x14ac:dyDescent="0.3">
      <c r="B146" s="263">
        <v>13</v>
      </c>
      <c r="C146" s="264" t="s">
        <v>26</v>
      </c>
      <c r="D146" s="265" t="s">
        <v>2</v>
      </c>
      <c r="E146" s="265"/>
      <c r="F146" s="265"/>
      <c r="G146" s="265"/>
      <c r="H146" s="6"/>
      <c r="I146" s="268">
        <v>1000</v>
      </c>
      <c r="J146" s="270">
        <v>1500</v>
      </c>
      <c r="K146" s="28"/>
      <c r="L146" s="11"/>
      <c r="M146" s="11"/>
      <c r="N146" s="10"/>
      <c r="O146" s="10"/>
      <c r="P146" s="10"/>
      <c r="Q146" s="10"/>
      <c r="R146" s="10"/>
      <c r="S146" s="10"/>
    </row>
    <row r="147" spans="2:19" ht="15.6" x14ac:dyDescent="0.3">
      <c r="B147" s="263"/>
      <c r="C147" s="264"/>
      <c r="D147" s="23" t="s">
        <v>3</v>
      </c>
      <c r="E147" s="23" t="s">
        <v>4</v>
      </c>
      <c r="F147" s="24" t="s">
        <v>5</v>
      </c>
      <c r="G147" s="23" t="s">
        <v>6</v>
      </c>
      <c r="H147" s="27"/>
      <c r="I147" s="269"/>
      <c r="J147" s="271"/>
      <c r="K147" s="32"/>
      <c r="L147" s="31"/>
      <c r="M147" s="31"/>
      <c r="N147" s="27"/>
      <c r="O147" s="27"/>
      <c r="P147" s="27"/>
      <c r="Q147" s="27"/>
      <c r="R147" s="27"/>
      <c r="S147" s="27"/>
    </row>
    <row r="148" spans="2:19" x14ac:dyDescent="0.3">
      <c r="B148" s="263"/>
      <c r="C148" s="264"/>
      <c r="D148" s="5" t="s">
        <v>109</v>
      </c>
      <c r="E148" s="5" t="s">
        <v>34</v>
      </c>
      <c r="F148" s="21">
        <v>399</v>
      </c>
      <c r="G148" s="5"/>
      <c r="H148" s="6">
        <v>20</v>
      </c>
      <c r="I148" s="269"/>
      <c r="J148" s="271"/>
      <c r="K148" s="28"/>
      <c r="L148" s="11">
        <v>3</v>
      </c>
      <c r="M148" s="11">
        <v>1</v>
      </c>
      <c r="N148" s="10">
        <v>6</v>
      </c>
      <c r="O148" s="10">
        <v>4</v>
      </c>
      <c r="P148" s="10"/>
      <c r="Q148" s="10">
        <v>6</v>
      </c>
      <c r="R148" s="10"/>
      <c r="S148" s="10">
        <v>1</v>
      </c>
    </row>
    <row r="149" spans="2:19" ht="15.6" x14ac:dyDescent="0.3">
      <c r="B149" s="263"/>
      <c r="C149" s="264"/>
      <c r="D149" s="265" t="s">
        <v>10</v>
      </c>
      <c r="E149" s="265"/>
      <c r="F149" s="265"/>
      <c r="G149" s="265"/>
      <c r="H149" s="4"/>
      <c r="I149" s="269"/>
      <c r="J149" s="271"/>
      <c r="K149" s="28"/>
      <c r="L149" s="11"/>
      <c r="M149" s="11"/>
      <c r="N149" s="10"/>
      <c r="O149" s="10"/>
      <c r="P149" s="10"/>
      <c r="Q149" s="10"/>
      <c r="R149" s="10"/>
      <c r="S149" s="10"/>
    </row>
    <row r="150" spans="2:19" ht="15.6" x14ac:dyDescent="0.3">
      <c r="B150" s="263"/>
      <c r="C150" s="264"/>
      <c r="D150" s="23" t="s">
        <v>3</v>
      </c>
      <c r="E150" s="23" t="s">
        <v>4</v>
      </c>
      <c r="F150" s="24" t="s">
        <v>5</v>
      </c>
      <c r="G150" s="23" t="s">
        <v>6</v>
      </c>
      <c r="H150" s="6"/>
      <c r="I150" s="269"/>
      <c r="J150" s="271"/>
      <c r="K150" s="32"/>
      <c r="L150" s="31"/>
      <c r="M150" s="31"/>
      <c r="N150" s="27"/>
      <c r="O150" s="27"/>
      <c r="P150" s="27"/>
      <c r="Q150" s="27"/>
      <c r="R150" s="27"/>
      <c r="S150" s="27"/>
    </row>
    <row r="151" spans="2:19" x14ac:dyDescent="0.3">
      <c r="B151" s="263"/>
      <c r="C151" s="264"/>
      <c r="D151" s="5" t="s">
        <v>110</v>
      </c>
      <c r="E151" s="5"/>
      <c r="F151" s="21">
        <v>299</v>
      </c>
      <c r="G151" s="5"/>
      <c r="H151" s="6">
        <v>20</v>
      </c>
      <c r="I151" s="269"/>
      <c r="J151" s="271"/>
      <c r="K151" s="28"/>
      <c r="L151" s="11">
        <v>3</v>
      </c>
      <c r="M151" s="11">
        <v>1</v>
      </c>
      <c r="N151" s="10">
        <v>6</v>
      </c>
      <c r="O151" s="10">
        <v>4</v>
      </c>
      <c r="P151" s="10"/>
      <c r="Q151" s="10">
        <v>6</v>
      </c>
      <c r="R151" s="10"/>
      <c r="S151" s="10">
        <v>1</v>
      </c>
    </row>
    <row r="152" spans="2:19" ht="31.2" x14ac:dyDescent="0.3">
      <c r="B152" s="7"/>
      <c r="C152" s="15"/>
      <c r="D152" s="260" t="s">
        <v>17</v>
      </c>
      <c r="E152" s="260"/>
      <c r="F152" s="260"/>
      <c r="G152" s="260"/>
      <c r="H152" s="260" t="s">
        <v>9</v>
      </c>
      <c r="I152" s="260"/>
      <c r="J152" s="8"/>
      <c r="K152" s="261" t="s">
        <v>13</v>
      </c>
      <c r="L152" s="262"/>
      <c r="M152" s="261" t="s">
        <v>14</v>
      </c>
      <c r="N152" s="262"/>
      <c r="O152" s="8" t="s">
        <v>15</v>
      </c>
      <c r="P152" s="8" t="s">
        <v>101</v>
      </c>
      <c r="Q152" s="8" t="s">
        <v>103</v>
      </c>
      <c r="R152" s="8" t="s">
        <v>104</v>
      </c>
      <c r="S152" s="8" t="s">
        <v>131</v>
      </c>
    </row>
    <row r="153" spans="2:19" ht="15.6" x14ac:dyDescent="0.3">
      <c r="B153" s="7"/>
      <c r="C153" s="15"/>
      <c r="D153" s="260"/>
      <c r="E153" s="260"/>
      <c r="F153" s="260"/>
      <c r="G153" s="260"/>
      <c r="H153" s="4" t="s">
        <v>7</v>
      </c>
      <c r="I153" s="4" t="s">
        <v>8</v>
      </c>
      <c r="J153" s="3" t="s">
        <v>8</v>
      </c>
      <c r="K153" s="26">
        <v>45901</v>
      </c>
      <c r="L153" s="26">
        <v>45992</v>
      </c>
      <c r="M153" s="26">
        <v>45931</v>
      </c>
      <c r="N153" s="30">
        <v>45992</v>
      </c>
      <c r="O153" s="30">
        <v>45992</v>
      </c>
      <c r="P153" s="30">
        <v>45992</v>
      </c>
      <c r="Q153" s="30"/>
      <c r="R153" s="30"/>
      <c r="S153" s="30"/>
    </row>
    <row r="154" spans="2:19" ht="15.6" x14ac:dyDescent="0.3">
      <c r="B154" s="263">
        <v>14</v>
      </c>
      <c r="C154" s="264" t="s">
        <v>27</v>
      </c>
      <c r="D154" s="265" t="s">
        <v>2</v>
      </c>
      <c r="E154" s="265"/>
      <c r="F154" s="265"/>
      <c r="G154" s="265"/>
      <c r="H154" s="6"/>
      <c r="I154" s="268">
        <v>1000</v>
      </c>
      <c r="J154" s="270">
        <v>1500</v>
      </c>
      <c r="K154" s="28"/>
      <c r="L154" s="11"/>
      <c r="M154" s="11"/>
      <c r="N154" s="10"/>
      <c r="O154" s="10"/>
      <c r="P154" s="10"/>
      <c r="Q154" s="10"/>
      <c r="R154" s="10"/>
      <c r="S154" s="10"/>
    </row>
    <row r="155" spans="2:19" ht="15.6" x14ac:dyDescent="0.3">
      <c r="B155" s="263"/>
      <c r="C155" s="264"/>
      <c r="D155" s="23" t="s">
        <v>3</v>
      </c>
      <c r="E155" s="23" t="s">
        <v>4</v>
      </c>
      <c r="F155" s="24" t="s">
        <v>5</v>
      </c>
      <c r="G155" s="23" t="s">
        <v>6</v>
      </c>
      <c r="H155" s="27"/>
      <c r="I155" s="269"/>
      <c r="J155" s="271"/>
      <c r="K155" s="32"/>
      <c r="L155" s="31"/>
      <c r="M155" s="31"/>
      <c r="N155" s="27"/>
      <c r="O155" s="27"/>
      <c r="P155" s="27"/>
      <c r="Q155" s="27"/>
      <c r="R155" s="27"/>
      <c r="S155" s="27"/>
    </row>
    <row r="156" spans="2:19" x14ac:dyDescent="0.3">
      <c r="B156" s="263"/>
      <c r="C156" s="264"/>
      <c r="D156" s="5" t="s">
        <v>65</v>
      </c>
      <c r="E156" s="5"/>
      <c r="F156" s="21">
        <v>220</v>
      </c>
      <c r="G156" s="5"/>
      <c r="H156" s="6">
        <v>10</v>
      </c>
      <c r="I156" s="269"/>
      <c r="J156" s="271"/>
      <c r="K156" s="11">
        <v>1</v>
      </c>
      <c r="L156" s="11">
        <v>2</v>
      </c>
      <c r="M156" s="11"/>
      <c r="N156" s="10">
        <v>3</v>
      </c>
      <c r="O156" s="10">
        <v>2</v>
      </c>
      <c r="P156" s="10"/>
      <c r="Q156" s="10">
        <v>2</v>
      </c>
      <c r="R156" s="10"/>
      <c r="S156" s="10">
        <v>1</v>
      </c>
    </row>
    <row r="157" spans="2:19" ht="15.6" x14ac:dyDescent="0.3">
      <c r="B157" s="263"/>
      <c r="C157" s="264"/>
      <c r="D157" s="265" t="s">
        <v>10</v>
      </c>
      <c r="E157" s="265"/>
      <c r="F157" s="265"/>
      <c r="G157" s="265"/>
      <c r="H157" s="4"/>
      <c r="I157" s="269"/>
      <c r="J157" s="271"/>
      <c r="K157" s="11"/>
      <c r="L157" s="11"/>
      <c r="M157" s="11"/>
      <c r="N157" s="10"/>
      <c r="O157" s="10"/>
      <c r="P157" s="10"/>
      <c r="Q157" s="10"/>
      <c r="R157" s="10"/>
      <c r="S157" s="10"/>
    </row>
    <row r="158" spans="2:19" ht="15.6" x14ac:dyDescent="0.3">
      <c r="B158" s="263"/>
      <c r="C158" s="264"/>
      <c r="D158" s="23" t="s">
        <v>3</v>
      </c>
      <c r="E158" s="23" t="s">
        <v>4</v>
      </c>
      <c r="F158" s="24" t="s">
        <v>5</v>
      </c>
      <c r="G158" s="23" t="s">
        <v>6</v>
      </c>
      <c r="H158" s="27"/>
      <c r="I158" s="269"/>
      <c r="J158" s="271"/>
      <c r="K158" s="31"/>
      <c r="L158" s="31"/>
      <c r="M158" s="31"/>
      <c r="N158" s="27"/>
      <c r="O158" s="27"/>
      <c r="P158" s="27"/>
      <c r="Q158" s="27"/>
      <c r="R158" s="27"/>
      <c r="S158" s="27"/>
    </row>
    <row r="159" spans="2:19" x14ac:dyDescent="0.3">
      <c r="B159" s="263"/>
      <c r="C159" s="264"/>
      <c r="D159" s="5" t="s">
        <v>66</v>
      </c>
      <c r="E159" s="5"/>
      <c r="F159" s="21"/>
      <c r="G159" s="5"/>
      <c r="H159" s="6"/>
      <c r="I159" s="269"/>
      <c r="J159" s="271"/>
      <c r="K159" s="11"/>
      <c r="L159" s="11"/>
      <c r="M159" s="11"/>
      <c r="N159" s="10"/>
      <c r="O159" s="10"/>
      <c r="P159" s="10"/>
      <c r="Q159" s="10"/>
      <c r="R159" s="10"/>
      <c r="S159" s="10"/>
    </row>
    <row r="160" spans="2:19" ht="15.6" x14ac:dyDescent="0.3">
      <c r="B160" s="263"/>
      <c r="C160" s="264"/>
      <c r="D160" s="265" t="s">
        <v>11</v>
      </c>
      <c r="E160" s="265"/>
      <c r="F160" s="265"/>
      <c r="G160" s="265"/>
      <c r="H160" s="6"/>
      <c r="I160" s="269"/>
      <c r="J160" s="271"/>
      <c r="K160" s="11"/>
      <c r="L160" s="11"/>
      <c r="M160" s="11"/>
      <c r="N160" s="10"/>
      <c r="O160" s="10"/>
      <c r="P160" s="10"/>
      <c r="Q160" s="10"/>
      <c r="R160" s="10"/>
      <c r="S160" s="10"/>
    </row>
    <row r="161" spans="2:19" ht="15.6" x14ac:dyDescent="0.3">
      <c r="B161" s="263"/>
      <c r="C161" s="264"/>
      <c r="D161" s="23" t="s">
        <v>3</v>
      </c>
      <c r="E161" s="23" t="s">
        <v>4</v>
      </c>
      <c r="F161" s="24" t="s">
        <v>5</v>
      </c>
      <c r="G161" s="23" t="s">
        <v>6</v>
      </c>
      <c r="H161" s="23"/>
      <c r="I161" s="269"/>
      <c r="J161" s="271"/>
      <c r="K161" s="31"/>
      <c r="L161" s="31"/>
      <c r="M161" s="31"/>
      <c r="N161" s="27"/>
      <c r="O161" s="27"/>
      <c r="P161" s="27"/>
      <c r="Q161" s="27"/>
      <c r="R161" s="27"/>
      <c r="S161" s="27"/>
    </row>
    <row r="162" spans="2:19" ht="15.6" x14ac:dyDescent="0.3">
      <c r="B162" s="263"/>
      <c r="C162" s="264"/>
      <c r="D162" s="5" t="s">
        <v>111</v>
      </c>
      <c r="E162" s="2"/>
      <c r="F162" s="21">
        <v>220</v>
      </c>
      <c r="G162" s="2"/>
      <c r="H162" s="6">
        <v>10</v>
      </c>
      <c r="I162" s="269"/>
      <c r="J162" s="271"/>
      <c r="K162" s="11"/>
      <c r="L162" s="11"/>
      <c r="M162" s="11"/>
      <c r="N162" s="10"/>
      <c r="O162" s="10"/>
      <c r="P162" s="10"/>
      <c r="Q162" s="10"/>
      <c r="R162" s="10"/>
      <c r="S162" s="10"/>
    </row>
    <row r="163" spans="2:19" ht="31.2" x14ac:dyDescent="0.3">
      <c r="B163" s="7"/>
      <c r="C163" s="15"/>
      <c r="D163" s="260" t="s">
        <v>17</v>
      </c>
      <c r="E163" s="260"/>
      <c r="F163" s="260"/>
      <c r="G163" s="260"/>
      <c r="H163" s="260" t="s">
        <v>9</v>
      </c>
      <c r="I163" s="260"/>
      <c r="J163" s="8"/>
      <c r="K163" s="261" t="s">
        <v>13</v>
      </c>
      <c r="L163" s="262"/>
      <c r="M163" s="261" t="s">
        <v>14</v>
      </c>
      <c r="N163" s="262"/>
      <c r="O163" s="8" t="s">
        <v>15</v>
      </c>
      <c r="P163" s="8" t="s">
        <v>101</v>
      </c>
      <c r="Q163" s="8" t="s">
        <v>103</v>
      </c>
      <c r="R163" s="8" t="s">
        <v>104</v>
      </c>
      <c r="S163" s="8" t="s">
        <v>131</v>
      </c>
    </row>
    <row r="164" spans="2:19" ht="15.6" x14ac:dyDescent="0.3">
      <c r="B164" s="7"/>
      <c r="C164" s="15"/>
      <c r="D164" s="260"/>
      <c r="E164" s="260"/>
      <c r="F164" s="260"/>
      <c r="G164" s="260"/>
      <c r="H164" s="4" t="s">
        <v>7</v>
      </c>
      <c r="I164" s="4" t="s">
        <v>8</v>
      </c>
      <c r="J164" s="3" t="s">
        <v>8</v>
      </c>
      <c r="K164" s="26">
        <v>45901</v>
      </c>
      <c r="L164" s="26">
        <v>45992</v>
      </c>
      <c r="M164" s="26">
        <v>45931</v>
      </c>
      <c r="N164" s="30">
        <v>45992</v>
      </c>
      <c r="O164" s="30">
        <v>45992</v>
      </c>
      <c r="P164" s="30">
        <v>45992</v>
      </c>
      <c r="Q164" s="30"/>
      <c r="R164" s="30"/>
      <c r="S164" s="30"/>
    </row>
    <row r="165" spans="2:19" ht="15.6" x14ac:dyDescent="0.3">
      <c r="B165" s="263">
        <v>15</v>
      </c>
      <c r="C165" s="264" t="s">
        <v>28</v>
      </c>
      <c r="D165" s="265" t="s">
        <v>2</v>
      </c>
      <c r="E165" s="265"/>
      <c r="F165" s="265"/>
      <c r="G165" s="265"/>
      <c r="H165" s="6"/>
      <c r="I165" s="268">
        <v>1000</v>
      </c>
      <c r="J165" s="270">
        <v>1500</v>
      </c>
      <c r="K165" s="28"/>
      <c r="L165" s="11"/>
      <c r="M165" s="11"/>
      <c r="N165" s="10"/>
      <c r="O165" s="10"/>
      <c r="P165" s="10"/>
      <c r="Q165" s="10"/>
      <c r="R165" s="10"/>
      <c r="S165" s="10"/>
    </row>
    <row r="166" spans="2:19" ht="15.6" x14ac:dyDescent="0.3">
      <c r="B166" s="263"/>
      <c r="C166" s="264"/>
      <c r="D166" s="23" t="s">
        <v>3</v>
      </c>
      <c r="E166" s="23" t="s">
        <v>4</v>
      </c>
      <c r="F166" s="24" t="s">
        <v>5</v>
      </c>
      <c r="G166" s="23" t="s">
        <v>6</v>
      </c>
      <c r="H166" s="27"/>
      <c r="I166" s="269"/>
      <c r="J166" s="271"/>
      <c r="K166" s="32"/>
      <c r="L166" s="31"/>
      <c r="M166" s="31"/>
      <c r="N166" s="27"/>
      <c r="O166" s="27"/>
      <c r="P166" s="27"/>
      <c r="Q166" s="27"/>
      <c r="R166" s="27"/>
      <c r="S166" s="27"/>
    </row>
    <row r="167" spans="2:19" ht="44.25" customHeight="1" x14ac:dyDescent="0.3">
      <c r="B167" s="263"/>
      <c r="C167" s="264"/>
      <c r="D167" s="5" t="s">
        <v>89</v>
      </c>
      <c r="E167" s="5"/>
      <c r="F167" s="21">
        <v>449</v>
      </c>
      <c r="G167" s="5"/>
      <c r="H167" s="6">
        <v>13</v>
      </c>
      <c r="I167" s="269"/>
      <c r="J167" s="271"/>
      <c r="K167" s="11">
        <v>2</v>
      </c>
      <c r="L167" s="11">
        <v>2</v>
      </c>
      <c r="M167" s="11"/>
      <c r="N167" s="10">
        <v>3</v>
      </c>
      <c r="O167" s="10">
        <v>2</v>
      </c>
      <c r="P167" s="10"/>
      <c r="Q167" s="10"/>
      <c r="R167" s="10"/>
      <c r="S167" s="10">
        <v>1</v>
      </c>
    </row>
    <row r="168" spans="2:19" ht="31.2" x14ac:dyDescent="0.3">
      <c r="B168" s="7"/>
      <c r="C168" s="15"/>
      <c r="D168" s="260" t="s">
        <v>17</v>
      </c>
      <c r="E168" s="260"/>
      <c r="F168" s="260"/>
      <c r="G168" s="260"/>
      <c r="H168" s="260" t="s">
        <v>9</v>
      </c>
      <c r="I168" s="260"/>
      <c r="J168" s="8"/>
      <c r="K168" s="261" t="s">
        <v>13</v>
      </c>
      <c r="L168" s="262"/>
      <c r="M168" s="261" t="s">
        <v>14</v>
      </c>
      <c r="N168" s="262"/>
      <c r="O168" s="8" t="s">
        <v>15</v>
      </c>
      <c r="P168" s="8" t="s">
        <v>101</v>
      </c>
      <c r="Q168" s="8" t="s">
        <v>103</v>
      </c>
      <c r="R168" s="8" t="s">
        <v>104</v>
      </c>
      <c r="S168" s="8" t="s">
        <v>131</v>
      </c>
    </row>
    <row r="169" spans="2:19" ht="15.6" x14ac:dyDescent="0.3">
      <c r="B169" s="7"/>
      <c r="C169" s="15"/>
      <c r="D169" s="260"/>
      <c r="E169" s="260"/>
      <c r="F169" s="260"/>
      <c r="G169" s="260"/>
      <c r="H169" s="4" t="s">
        <v>7</v>
      </c>
      <c r="I169" s="4" t="s">
        <v>8</v>
      </c>
      <c r="J169" s="3" t="s">
        <v>8</v>
      </c>
      <c r="K169" s="26">
        <v>45901</v>
      </c>
      <c r="L169" s="26">
        <v>45992</v>
      </c>
      <c r="M169" s="26">
        <v>45931</v>
      </c>
      <c r="N169" s="30">
        <v>45992</v>
      </c>
      <c r="O169" s="30">
        <v>45992</v>
      </c>
      <c r="P169" s="30">
        <v>45992</v>
      </c>
      <c r="Q169" s="30"/>
      <c r="R169" s="30"/>
      <c r="S169" s="30"/>
    </row>
    <row r="170" spans="2:19" ht="15.6" x14ac:dyDescent="0.3">
      <c r="B170" s="263">
        <v>16</v>
      </c>
      <c r="C170" s="264" t="s">
        <v>29</v>
      </c>
      <c r="D170" s="265" t="s">
        <v>2</v>
      </c>
      <c r="E170" s="265"/>
      <c r="F170" s="265"/>
      <c r="G170" s="265"/>
      <c r="H170" s="6"/>
      <c r="I170" s="268">
        <v>1000</v>
      </c>
      <c r="J170" s="270">
        <v>500</v>
      </c>
      <c r="K170" s="28"/>
      <c r="L170" s="11"/>
      <c r="M170" s="11"/>
      <c r="N170" s="10"/>
      <c r="O170" s="10"/>
      <c r="P170" s="10"/>
      <c r="Q170" s="10"/>
      <c r="R170" s="10"/>
      <c r="S170" s="10"/>
    </row>
    <row r="171" spans="2:19" ht="15.6" x14ac:dyDescent="0.3">
      <c r="B171" s="263"/>
      <c r="C171" s="264"/>
      <c r="D171" s="23" t="s">
        <v>3</v>
      </c>
      <c r="E171" s="23" t="s">
        <v>4</v>
      </c>
      <c r="F171" s="24" t="s">
        <v>5</v>
      </c>
      <c r="G171" s="23" t="s">
        <v>6</v>
      </c>
      <c r="H171" s="27"/>
      <c r="I171" s="269"/>
      <c r="J171" s="271"/>
      <c r="K171" s="32"/>
      <c r="L171" s="31"/>
      <c r="M171" s="31"/>
      <c r="N171" s="27"/>
      <c r="O171" s="27"/>
      <c r="P171" s="27"/>
      <c r="Q171" s="27"/>
      <c r="R171" s="27"/>
      <c r="S171" s="27"/>
    </row>
    <row r="172" spans="2:19" ht="15.6" x14ac:dyDescent="0.3">
      <c r="B172" s="263"/>
      <c r="C172" s="264"/>
      <c r="D172" s="5" t="s">
        <v>78</v>
      </c>
      <c r="E172" s="5"/>
      <c r="F172" s="21">
        <v>285</v>
      </c>
      <c r="G172" s="5"/>
      <c r="H172" s="4"/>
      <c r="I172" s="269"/>
      <c r="J172" s="271"/>
      <c r="K172" s="28"/>
      <c r="L172" s="11">
        <v>1</v>
      </c>
      <c r="M172" s="11"/>
      <c r="N172" s="10">
        <v>2</v>
      </c>
      <c r="O172" s="10">
        <v>1</v>
      </c>
      <c r="P172" s="10"/>
      <c r="Q172" s="10"/>
      <c r="R172" s="10"/>
      <c r="S172" s="10"/>
    </row>
    <row r="173" spans="2:19" ht="15.6" x14ac:dyDescent="0.3">
      <c r="B173" s="263"/>
      <c r="C173" s="264"/>
      <c r="D173" s="265" t="s">
        <v>10</v>
      </c>
      <c r="E173" s="265"/>
      <c r="F173" s="265"/>
      <c r="G173" s="265"/>
      <c r="H173" s="4"/>
      <c r="I173" s="269"/>
      <c r="J173" s="271"/>
      <c r="K173" s="28"/>
      <c r="L173" s="11"/>
      <c r="M173" s="11"/>
      <c r="N173" s="10"/>
      <c r="O173" s="10"/>
      <c r="P173" s="10"/>
      <c r="Q173" s="10"/>
      <c r="R173" s="10"/>
      <c r="S173" s="10"/>
    </row>
    <row r="174" spans="2:19" ht="15.6" x14ac:dyDescent="0.3">
      <c r="B174" s="263"/>
      <c r="C174" s="264"/>
      <c r="D174" s="23" t="s">
        <v>3</v>
      </c>
      <c r="E174" s="23" t="s">
        <v>4</v>
      </c>
      <c r="F174" s="24" t="s">
        <v>5</v>
      </c>
      <c r="G174" s="23" t="s">
        <v>6</v>
      </c>
      <c r="H174" s="23"/>
      <c r="I174" s="269"/>
      <c r="J174" s="271"/>
      <c r="K174" s="32"/>
      <c r="L174" s="31"/>
      <c r="M174" s="31"/>
      <c r="N174" s="27"/>
      <c r="O174" s="27"/>
      <c r="P174" s="27"/>
      <c r="Q174" s="27"/>
      <c r="R174" s="27"/>
      <c r="S174" s="27"/>
    </row>
    <row r="175" spans="2:19" ht="15.6" x14ac:dyDescent="0.3">
      <c r="B175" s="263"/>
      <c r="C175" s="264"/>
      <c r="D175" s="5"/>
      <c r="E175" s="5"/>
      <c r="F175" s="21"/>
      <c r="G175" s="5"/>
      <c r="H175" s="4"/>
      <c r="I175" s="269"/>
      <c r="J175" s="271"/>
      <c r="K175" s="28"/>
      <c r="L175" s="11"/>
      <c r="M175" s="11"/>
      <c r="N175" s="10"/>
      <c r="O175" s="10"/>
      <c r="P175" s="10"/>
      <c r="Q175" s="10"/>
      <c r="R175" s="10"/>
      <c r="S175" s="10"/>
    </row>
    <row r="176" spans="2:19" ht="31.2" x14ac:dyDescent="0.3">
      <c r="B176" s="7"/>
      <c r="C176" s="15"/>
      <c r="D176" s="260" t="s">
        <v>17</v>
      </c>
      <c r="E176" s="260"/>
      <c r="F176" s="260"/>
      <c r="G176" s="260"/>
      <c r="H176" s="260" t="s">
        <v>9</v>
      </c>
      <c r="I176" s="260"/>
      <c r="J176" s="8"/>
      <c r="K176" s="261" t="s">
        <v>13</v>
      </c>
      <c r="L176" s="262"/>
      <c r="M176" s="261" t="s">
        <v>14</v>
      </c>
      <c r="N176" s="262"/>
      <c r="O176" s="8" t="s">
        <v>15</v>
      </c>
      <c r="P176" s="8" t="s">
        <v>101</v>
      </c>
      <c r="Q176" s="8" t="s">
        <v>103</v>
      </c>
      <c r="R176" s="8" t="s">
        <v>104</v>
      </c>
      <c r="S176" s="8" t="s">
        <v>131</v>
      </c>
    </row>
    <row r="177" spans="2:19" ht="15.6" x14ac:dyDescent="0.3">
      <c r="B177" s="7"/>
      <c r="C177" s="15"/>
      <c r="D177" s="260"/>
      <c r="E177" s="260"/>
      <c r="F177" s="260"/>
      <c r="G177" s="260"/>
      <c r="H177" s="4" t="s">
        <v>7</v>
      </c>
      <c r="I177" s="4" t="s">
        <v>8</v>
      </c>
      <c r="J177" s="3" t="s">
        <v>8</v>
      </c>
      <c r="K177" s="26">
        <v>45901</v>
      </c>
      <c r="L177" s="26">
        <v>45992</v>
      </c>
      <c r="M177" s="26">
        <v>45931</v>
      </c>
      <c r="N177" s="30">
        <v>45992</v>
      </c>
      <c r="O177" s="30">
        <v>45992</v>
      </c>
      <c r="P177" s="30">
        <v>45992</v>
      </c>
      <c r="Q177" s="30"/>
      <c r="R177" s="30"/>
      <c r="S177" s="30"/>
    </row>
    <row r="178" spans="2:19" ht="15.6" x14ac:dyDescent="0.3">
      <c r="B178" s="263">
        <v>17</v>
      </c>
      <c r="C178" s="264" t="s">
        <v>121</v>
      </c>
      <c r="D178" s="265" t="s">
        <v>2</v>
      </c>
      <c r="E178" s="265"/>
      <c r="F178" s="265"/>
      <c r="G178" s="265"/>
      <c r="H178" s="6"/>
      <c r="I178" s="268">
        <v>1000</v>
      </c>
      <c r="J178" s="270">
        <v>1500</v>
      </c>
      <c r="K178" s="28"/>
      <c r="L178" s="11"/>
      <c r="M178" s="11"/>
      <c r="N178" s="10"/>
      <c r="O178" s="10"/>
      <c r="P178" s="10"/>
      <c r="Q178" s="10"/>
      <c r="R178" s="10"/>
      <c r="S178" s="10"/>
    </row>
    <row r="179" spans="2:19" ht="15.6" x14ac:dyDescent="0.3">
      <c r="B179" s="263"/>
      <c r="C179" s="264"/>
      <c r="D179" s="23" t="s">
        <v>3</v>
      </c>
      <c r="E179" s="23" t="s">
        <v>4</v>
      </c>
      <c r="F179" s="24" t="s">
        <v>5</v>
      </c>
      <c r="G179" s="23" t="s">
        <v>6</v>
      </c>
      <c r="H179" s="27"/>
      <c r="I179" s="269"/>
      <c r="J179" s="271"/>
      <c r="K179" s="32"/>
      <c r="L179" s="31"/>
      <c r="M179" s="31"/>
      <c r="N179" s="27"/>
      <c r="O179" s="27"/>
      <c r="P179" s="27"/>
      <c r="Q179" s="27"/>
      <c r="R179" s="27"/>
      <c r="S179" s="27"/>
    </row>
    <row r="180" spans="2:19" x14ac:dyDescent="0.3">
      <c r="B180" s="263"/>
      <c r="C180" s="264"/>
      <c r="D180" s="5" t="s">
        <v>79</v>
      </c>
      <c r="E180" s="5" t="s">
        <v>38</v>
      </c>
      <c r="F180" s="21">
        <v>350</v>
      </c>
      <c r="G180" s="5"/>
      <c r="H180" s="6">
        <v>5</v>
      </c>
      <c r="I180" s="269"/>
      <c r="J180" s="271"/>
      <c r="K180" s="11">
        <v>2</v>
      </c>
      <c r="L180" s="11"/>
      <c r="M180" s="11"/>
      <c r="N180" s="10"/>
      <c r="O180" s="10"/>
      <c r="P180" s="10"/>
      <c r="Q180" s="10"/>
      <c r="R180" s="10"/>
      <c r="S180" s="10"/>
    </row>
    <row r="181" spans="2:19" ht="15.6" x14ac:dyDescent="0.3">
      <c r="B181" s="263"/>
      <c r="C181" s="264"/>
      <c r="D181" s="265" t="s">
        <v>2</v>
      </c>
      <c r="E181" s="265"/>
      <c r="F181" s="265"/>
      <c r="G181" s="265"/>
      <c r="H181" s="6"/>
      <c r="I181" s="269"/>
      <c r="J181" s="271"/>
      <c r="K181" s="28"/>
      <c r="L181" s="11"/>
      <c r="M181" s="11"/>
      <c r="N181" s="10"/>
      <c r="O181" s="10"/>
      <c r="P181" s="10"/>
      <c r="Q181" s="10"/>
      <c r="R181" s="10"/>
      <c r="S181" s="10"/>
    </row>
    <row r="182" spans="2:19" ht="15.6" x14ac:dyDescent="0.3">
      <c r="B182" s="263"/>
      <c r="C182" s="264"/>
      <c r="D182" s="23" t="s">
        <v>3</v>
      </c>
      <c r="E182" s="23" t="s">
        <v>4</v>
      </c>
      <c r="F182" s="24" t="s">
        <v>5</v>
      </c>
      <c r="G182" s="23" t="s">
        <v>6</v>
      </c>
      <c r="H182" s="27"/>
      <c r="I182" s="269"/>
      <c r="J182" s="271"/>
      <c r="K182" s="32"/>
      <c r="L182" s="31"/>
      <c r="M182" s="31"/>
      <c r="N182" s="27"/>
      <c r="O182" s="27"/>
      <c r="P182" s="27"/>
      <c r="Q182" s="27"/>
      <c r="R182" s="27"/>
      <c r="S182" s="27"/>
    </row>
    <row r="183" spans="2:19" ht="15.6" x14ac:dyDescent="0.3">
      <c r="B183" s="263"/>
      <c r="C183" s="264"/>
      <c r="D183" s="5"/>
      <c r="E183" s="5"/>
      <c r="F183" s="21"/>
      <c r="G183" s="2"/>
      <c r="H183" s="4"/>
      <c r="I183" s="269"/>
      <c r="J183" s="271"/>
      <c r="K183" s="11"/>
      <c r="L183" s="11"/>
      <c r="M183" s="11"/>
      <c r="N183" s="10"/>
      <c r="O183" s="10"/>
      <c r="P183" s="10"/>
      <c r="Q183" s="10"/>
      <c r="R183" s="10"/>
      <c r="S183" s="10"/>
    </row>
    <row r="184" spans="2:19" ht="31.2" x14ac:dyDescent="0.3">
      <c r="B184" s="7"/>
      <c r="C184" s="15"/>
      <c r="D184" s="260" t="s">
        <v>17</v>
      </c>
      <c r="E184" s="260"/>
      <c r="F184" s="260"/>
      <c r="G184" s="260"/>
      <c r="H184" s="260" t="s">
        <v>9</v>
      </c>
      <c r="I184" s="260"/>
      <c r="J184" s="8"/>
      <c r="K184" s="261" t="s">
        <v>13</v>
      </c>
      <c r="L184" s="262"/>
      <c r="M184" s="261" t="s">
        <v>14</v>
      </c>
      <c r="N184" s="262"/>
      <c r="O184" s="8" t="s">
        <v>15</v>
      </c>
      <c r="P184" s="8" t="s">
        <v>101</v>
      </c>
      <c r="Q184" s="8" t="s">
        <v>103</v>
      </c>
      <c r="R184" s="8" t="s">
        <v>104</v>
      </c>
      <c r="S184" s="8" t="s">
        <v>131</v>
      </c>
    </row>
    <row r="185" spans="2:19" ht="15.6" x14ac:dyDescent="0.3">
      <c r="B185" s="7"/>
      <c r="C185" s="15"/>
      <c r="D185" s="260"/>
      <c r="E185" s="260"/>
      <c r="F185" s="260"/>
      <c r="G185" s="260"/>
      <c r="H185" s="4" t="s">
        <v>7</v>
      </c>
      <c r="I185" s="4" t="s">
        <v>8</v>
      </c>
      <c r="J185" s="3" t="s">
        <v>8</v>
      </c>
      <c r="K185" s="26">
        <v>45901</v>
      </c>
      <c r="L185" s="26">
        <v>45992</v>
      </c>
      <c r="M185" s="26">
        <v>45931</v>
      </c>
      <c r="N185" s="30">
        <v>45992</v>
      </c>
      <c r="O185" s="30">
        <v>45992</v>
      </c>
      <c r="P185" s="30">
        <v>45992</v>
      </c>
      <c r="Q185" s="30"/>
      <c r="R185" s="30"/>
      <c r="S185" s="30"/>
    </row>
    <row r="186" spans="2:19" ht="15.6" x14ac:dyDescent="0.3">
      <c r="B186" s="263">
        <v>20</v>
      </c>
      <c r="C186" s="264" t="s">
        <v>30</v>
      </c>
      <c r="D186" s="265" t="s">
        <v>2</v>
      </c>
      <c r="E186" s="265"/>
      <c r="F186" s="265"/>
      <c r="G186" s="265"/>
      <c r="H186" s="6"/>
      <c r="I186" s="268"/>
      <c r="J186" s="270">
        <v>1500</v>
      </c>
      <c r="K186" s="29"/>
      <c r="L186" s="10"/>
      <c r="M186" s="10"/>
      <c r="N186" s="10"/>
      <c r="O186" s="10"/>
      <c r="P186" s="10"/>
      <c r="Q186" s="10"/>
      <c r="R186" s="10"/>
      <c r="S186" s="10"/>
    </row>
    <row r="187" spans="2:19" ht="15.6" x14ac:dyDescent="0.3">
      <c r="B187" s="263"/>
      <c r="C187" s="264"/>
      <c r="D187" s="23" t="s">
        <v>3</v>
      </c>
      <c r="E187" s="23" t="s">
        <v>4</v>
      </c>
      <c r="F187" s="24" t="s">
        <v>5</v>
      </c>
      <c r="G187" s="23" t="s">
        <v>6</v>
      </c>
      <c r="H187" s="27"/>
      <c r="I187" s="269"/>
      <c r="J187" s="271"/>
      <c r="K187" s="33"/>
      <c r="L187" s="27"/>
      <c r="M187" s="27"/>
      <c r="N187" s="27"/>
      <c r="O187" s="27"/>
      <c r="P187" s="27"/>
      <c r="Q187" s="27"/>
      <c r="R187" s="27"/>
      <c r="S187" s="27"/>
    </row>
    <row r="188" spans="2:19" ht="15.6" x14ac:dyDescent="0.3">
      <c r="B188" s="263"/>
      <c r="C188" s="264"/>
      <c r="D188" s="5" t="s">
        <v>100</v>
      </c>
      <c r="E188" s="5" t="s">
        <v>38</v>
      </c>
      <c r="F188" s="21">
        <v>399</v>
      </c>
      <c r="G188" s="5"/>
      <c r="H188" s="4"/>
      <c r="I188" s="269"/>
      <c r="J188" s="271"/>
      <c r="K188" s="10">
        <v>1</v>
      </c>
      <c r="L188" s="10">
        <v>2</v>
      </c>
      <c r="M188" s="10">
        <v>1</v>
      </c>
      <c r="N188" s="10">
        <v>5</v>
      </c>
      <c r="O188" s="10">
        <v>3</v>
      </c>
      <c r="P188" s="10">
        <v>1</v>
      </c>
      <c r="Q188" s="10">
        <v>3</v>
      </c>
      <c r="R188" s="10">
        <v>1</v>
      </c>
      <c r="S188" s="10"/>
    </row>
    <row r="189" spans="2:19" ht="15.6" x14ac:dyDescent="0.3">
      <c r="B189" s="263"/>
      <c r="C189" s="264"/>
      <c r="D189" s="265" t="s">
        <v>10</v>
      </c>
      <c r="E189" s="265"/>
      <c r="F189" s="265"/>
      <c r="G189" s="265"/>
      <c r="H189" s="4"/>
      <c r="I189" s="269"/>
      <c r="J189" s="271"/>
      <c r="K189" s="29"/>
      <c r="L189" s="10"/>
      <c r="M189" s="10"/>
      <c r="N189" s="10"/>
      <c r="O189" s="10"/>
      <c r="P189" s="10"/>
      <c r="Q189" s="10"/>
      <c r="R189" s="10"/>
      <c r="S189" s="10"/>
    </row>
    <row r="190" spans="2:19" ht="15.6" x14ac:dyDescent="0.3">
      <c r="B190" s="263"/>
      <c r="C190" s="264"/>
      <c r="D190" s="23" t="s">
        <v>3</v>
      </c>
      <c r="E190" s="23" t="s">
        <v>4</v>
      </c>
      <c r="F190" s="24" t="s">
        <v>5</v>
      </c>
      <c r="G190" s="23" t="s">
        <v>6</v>
      </c>
      <c r="H190" s="27"/>
      <c r="I190" s="269"/>
      <c r="J190" s="271"/>
      <c r="K190" s="33"/>
      <c r="L190" s="27"/>
      <c r="M190" s="27"/>
      <c r="N190" s="27"/>
      <c r="O190" s="27"/>
      <c r="P190" s="27"/>
      <c r="Q190" s="27"/>
      <c r="R190" s="27"/>
      <c r="S190" s="27"/>
    </row>
    <row r="191" spans="2:19" x14ac:dyDescent="0.3">
      <c r="B191" s="263"/>
      <c r="C191" s="264"/>
      <c r="D191" s="5"/>
      <c r="E191" s="5"/>
      <c r="F191" s="21"/>
      <c r="G191" s="5"/>
      <c r="H191" s="6"/>
      <c r="I191" s="269"/>
      <c r="J191" s="271"/>
      <c r="K191" s="29"/>
      <c r="L191" s="10"/>
      <c r="M191" s="10"/>
      <c r="N191" s="10"/>
      <c r="O191" s="10"/>
      <c r="P191" s="10"/>
      <c r="Q191" s="10"/>
      <c r="R191" s="10"/>
      <c r="S191" s="10"/>
    </row>
    <row r="192" spans="2:19" ht="31.2" x14ac:dyDescent="0.3">
      <c r="B192" s="7"/>
      <c r="C192" s="15"/>
      <c r="D192" s="260" t="s">
        <v>17</v>
      </c>
      <c r="E192" s="260"/>
      <c r="F192" s="260"/>
      <c r="G192" s="260"/>
      <c r="H192" s="260" t="s">
        <v>9</v>
      </c>
      <c r="I192" s="260"/>
      <c r="J192" s="8"/>
      <c r="K192" s="261" t="s">
        <v>13</v>
      </c>
      <c r="L192" s="262"/>
      <c r="M192" s="261" t="s">
        <v>14</v>
      </c>
      <c r="N192" s="262"/>
      <c r="O192" s="8" t="s">
        <v>15</v>
      </c>
      <c r="P192" s="8" t="s">
        <v>101</v>
      </c>
      <c r="Q192" s="8" t="s">
        <v>103</v>
      </c>
      <c r="R192" s="8" t="s">
        <v>104</v>
      </c>
      <c r="S192" s="8" t="s">
        <v>131</v>
      </c>
    </row>
    <row r="193" spans="2:19" ht="15.6" x14ac:dyDescent="0.3">
      <c r="B193" s="7"/>
      <c r="C193" s="15"/>
      <c r="D193" s="260"/>
      <c r="E193" s="260"/>
      <c r="F193" s="260"/>
      <c r="G193" s="260"/>
      <c r="H193" s="4" t="s">
        <v>7</v>
      </c>
      <c r="I193" s="4" t="s">
        <v>8</v>
      </c>
      <c r="J193" s="3" t="s">
        <v>8</v>
      </c>
      <c r="K193" s="26">
        <v>45901</v>
      </c>
      <c r="L193" s="26">
        <v>45992</v>
      </c>
      <c r="M193" s="26">
        <v>45931</v>
      </c>
      <c r="N193" s="30">
        <v>45992</v>
      </c>
      <c r="O193" s="30">
        <v>45992</v>
      </c>
      <c r="P193" s="30">
        <v>45992</v>
      </c>
      <c r="Q193" s="30"/>
      <c r="R193" s="30"/>
      <c r="S193" s="30"/>
    </row>
    <row r="194" spans="2:19" ht="15.6" x14ac:dyDescent="0.3">
      <c r="B194" s="263">
        <v>21</v>
      </c>
      <c r="C194" s="264" t="s">
        <v>31</v>
      </c>
      <c r="D194" s="265" t="s">
        <v>2</v>
      </c>
      <c r="E194" s="265"/>
      <c r="F194" s="265"/>
      <c r="G194" s="265"/>
      <c r="H194" s="6"/>
      <c r="I194" s="268">
        <v>1000</v>
      </c>
      <c r="J194" s="270">
        <v>1500</v>
      </c>
      <c r="K194" s="29"/>
      <c r="L194" s="10"/>
      <c r="M194" s="10"/>
      <c r="N194" s="10"/>
      <c r="O194" s="10"/>
      <c r="P194" s="10"/>
      <c r="Q194" s="10"/>
      <c r="R194" s="10"/>
      <c r="S194" s="10"/>
    </row>
    <row r="195" spans="2:19" ht="15.6" x14ac:dyDescent="0.3">
      <c r="B195" s="263"/>
      <c r="C195" s="264"/>
      <c r="D195" s="23" t="s">
        <v>3</v>
      </c>
      <c r="E195" s="23" t="s">
        <v>4</v>
      </c>
      <c r="F195" s="24" t="s">
        <v>5</v>
      </c>
      <c r="G195" s="23" t="s">
        <v>6</v>
      </c>
      <c r="H195" s="27"/>
      <c r="I195" s="269"/>
      <c r="J195" s="271"/>
      <c r="K195" s="33"/>
      <c r="L195" s="27"/>
      <c r="M195" s="27"/>
      <c r="N195" s="27"/>
      <c r="O195" s="27"/>
      <c r="P195" s="27"/>
      <c r="Q195" s="27"/>
      <c r="R195" s="27"/>
      <c r="S195" s="27"/>
    </row>
    <row r="196" spans="2:19" x14ac:dyDescent="0.3">
      <c r="B196" s="263"/>
      <c r="C196" s="264"/>
      <c r="D196" s="5" t="s">
        <v>98</v>
      </c>
      <c r="E196" s="5" t="s">
        <v>99</v>
      </c>
      <c r="F196" s="21">
        <v>399</v>
      </c>
      <c r="G196" s="5"/>
      <c r="H196" s="6">
        <v>19</v>
      </c>
      <c r="I196" s="269"/>
      <c r="J196" s="271"/>
      <c r="K196" s="10">
        <v>2</v>
      </c>
      <c r="L196" s="10"/>
      <c r="M196" s="10"/>
      <c r="N196" s="10">
        <v>7</v>
      </c>
      <c r="O196" s="10">
        <v>4</v>
      </c>
      <c r="P196" s="10">
        <v>1</v>
      </c>
      <c r="Q196" s="10">
        <v>6</v>
      </c>
      <c r="R196" s="10"/>
      <c r="S196" s="10">
        <v>1</v>
      </c>
    </row>
    <row r="197" spans="2:19" ht="15.6" x14ac:dyDescent="0.3">
      <c r="B197" s="263"/>
      <c r="C197" s="264"/>
      <c r="D197" s="265" t="s">
        <v>10</v>
      </c>
      <c r="E197" s="265"/>
      <c r="F197" s="265"/>
      <c r="G197" s="265"/>
      <c r="H197" s="4"/>
      <c r="I197" s="269"/>
      <c r="J197" s="271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2:19" ht="15.6" x14ac:dyDescent="0.3">
      <c r="B198" s="263"/>
      <c r="C198" s="264"/>
      <c r="D198" s="23" t="s">
        <v>3</v>
      </c>
      <c r="E198" s="23" t="s">
        <v>4</v>
      </c>
      <c r="F198" s="24" t="s">
        <v>5</v>
      </c>
      <c r="G198" s="23" t="s">
        <v>6</v>
      </c>
      <c r="H198" s="27"/>
      <c r="I198" s="269"/>
      <c r="J198" s="271"/>
      <c r="K198" s="27"/>
      <c r="L198" s="27"/>
      <c r="M198" s="27"/>
      <c r="N198" s="27"/>
      <c r="O198" s="27"/>
      <c r="P198" s="27"/>
      <c r="Q198" s="27"/>
      <c r="R198" s="27"/>
      <c r="S198" s="27"/>
    </row>
    <row r="199" spans="2:19" x14ac:dyDescent="0.3">
      <c r="B199" s="263"/>
      <c r="C199" s="264"/>
      <c r="D199" s="5" t="s">
        <v>120</v>
      </c>
      <c r="E199" s="5" t="s">
        <v>99</v>
      </c>
      <c r="F199" s="21">
        <v>299</v>
      </c>
      <c r="G199" s="5"/>
      <c r="H199" s="6">
        <v>9</v>
      </c>
      <c r="I199" s="269"/>
      <c r="J199" s="271"/>
      <c r="K199" s="10"/>
      <c r="L199" s="10">
        <v>1</v>
      </c>
      <c r="M199" s="10"/>
      <c r="N199" s="10"/>
      <c r="O199" s="10">
        <v>2</v>
      </c>
      <c r="P199" s="10"/>
      <c r="Q199" s="10">
        <v>4</v>
      </c>
      <c r="R199" s="10"/>
      <c r="S199" s="10">
        <v>1</v>
      </c>
    </row>
    <row r="200" spans="2:19" ht="31.2" x14ac:dyDescent="0.3">
      <c r="B200" s="7"/>
      <c r="C200" s="15"/>
      <c r="D200" s="260" t="s">
        <v>17</v>
      </c>
      <c r="E200" s="260"/>
      <c r="F200" s="260"/>
      <c r="G200" s="260"/>
      <c r="H200" s="260" t="s">
        <v>9</v>
      </c>
      <c r="I200" s="260"/>
      <c r="J200" s="8"/>
      <c r="K200" s="261" t="s">
        <v>13</v>
      </c>
      <c r="L200" s="262"/>
      <c r="M200" s="261" t="s">
        <v>14</v>
      </c>
      <c r="N200" s="262"/>
      <c r="O200" s="8" t="s">
        <v>15</v>
      </c>
      <c r="P200" s="8" t="s">
        <v>101</v>
      </c>
      <c r="Q200" s="8" t="s">
        <v>103</v>
      </c>
      <c r="R200" s="8" t="s">
        <v>104</v>
      </c>
      <c r="S200" s="8" t="s">
        <v>131</v>
      </c>
    </row>
    <row r="201" spans="2:19" ht="15.6" x14ac:dyDescent="0.3">
      <c r="B201" s="7"/>
      <c r="C201" s="15"/>
      <c r="D201" s="260"/>
      <c r="E201" s="260"/>
      <c r="F201" s="260"/>
      <c r="G201" s="260"/>
      <c r="H201" s="4" t="s">
        <v>7</v>
      </c>
      <c r="I201" s="4" t="s">
        <v>8</v>
      </c>
      <c r="J201" s="3" t="s">
        <v>8</v>
      </c>
      <c r="K201" s="26">
        <v>45901</v>
      </c>
      <c r="L201" s="26">
        <v>45992</v>
      </c>
      <c r="M201" s="26">
        <v>45931</v>
      </c>
      <c r="N201" s="30">
        <v>45992</v>
      </c>
      <c r="O201" s="30">
        <v>45992</v>
      </c>
      <c r="P201" s="30">
        <v>45992</v>
      </c>
      <c r="Q201" s="30"/>
      <c r="R201" s="30"/>
      <c r="S201" s="30"/>
    </row>
    <row r="202" spans="2:19" ht="15.6" x14ac:dyDescent="0.3">
      <c r="B202" s="263">
        <v>22</v>
      </c>
      <c r="C202" s="264" t="s">
        <v>32</v>
      </c>
      <c r="D202" s="265" t="s">
        <v>2</v>
      </c>
      <c r="E202" s="265"/>
      <c r="F202" s="265"/>
      <c r="G202" s="265"/>
      <c r="H202" s="6"/>
      <c r="I202" s="268">
        <v>1000</v>
      </c>
      <c r="J202" s="270">
        <v>1500</v>
      </c>
      <c r="K202" s="29"/>
      <c r="L202" s="10"/>
      <c r="M202" s="10"/>
      <c r="N202" s="10"/>
      <c r="O202" s="10"/>
      <c r="P202" s="10"/>
      <c r="Q202" s="10"/>
      <c r="R202" s="10"/>
      <c r="S202" s="10"/>
    </row>
    <row r="203" spans="2:19" ht="15.6" x14ac:dyDescent="0.3">
      <c r="B203" s="263"/>
      <c r="C203" s="264"/>
      <c r="D203" s="23" t="s">
        <v>3</v>
      </c>
      <c r="E203" s="23" t="s">
        <v>4</v>
      </c>
      <c r="F203" s="24" t="s">
        <v>5</v>
      </c>
      <c r="G203" s="23" t="s">
        <v>6</v>
      </c>
      <c r="H203" s="27"/>
      <c r="I203" s="269"/>
      <c r="J203" s="271"/>
      <c r="K203" s="33"/>
      <c r="L203" s="27"/>
      <c r="M203" s="27"/>
      <c r="N203" s="27"/>
      <c r="O203" s="27"/>
      <c r="P203" s="27"/>
      <c r="Q203" s="27"/>
      <c r="R203" s="27"/>
      <c r="S203" s="27"/>
    </row>
    <row r="204" spans="2:19" x14ac:dyDescent="0.3">
      <c r="B204" s="263"/>
      <c r="C204" s="264"/>
      <c r="D204" s="5" t="s">
        <v>91</v>
      </c>
      <c r="E204" s="5" t="s">
        <v>34</v>
      </c>
      <c r="F204" s="21">
        <v>299</v>
      </c>
      <c r="G204" s="5"/>
      <c r="H204" s="6">
        <v>10</v>
      </c>
      <c r="I204" s="269"/>
      <c r="J204" s="271"/>
      <c r="K204" s="29"/>
      <c r="L204" s="10">
        <v>5</v>
      </c>
      <c r="M204" s="10"/>
      <c r="N204" s="10">
        <v>10</v>
      </c>
      <c r="O204" s="10">
        <v>5</v>
      </c>
      <c r="P204" s="10"/>
      <c r="Q204" s="10">
        <v>9</v>
      </c>
      <c r="R204" s="10"/>
      <c r="S204" s="10">
        <v>1</v>
      </c>
    </row>
    <row r="205" spans="2:19" ht="15.6" x14ac:dyDescent="0.3">
      <c r="B205" s="263"/>
      <c r="C205" s="264"/>
      <c r="D205" s="265" t="s">
        <v>10</v>
      </c>
      <c r="E205" s="265"/>
      <c r="F205" s="265"/>
      <c r="G205" s="265"/>
      <c r="H205" s="4"/>
      <c r="I205" s="269"/>
      <c r="J205" s="271"/>
      <c r="K205" s="29"/>
      <c r="L205" s="10"/>
      <c r="M205" s="10"/>
      <c r="N205" s="10"/>
      <c r="O205" s="10"/>
      <c r="P205" s="10"/>
      <c r="Q205" s="10"/>
      <c r="R205" s="10"/>
      <c r="S205" s="10"/>
    </row>
    <row r="206" spans="2:19" ht="15.6" x14ac:dyDescent="0.3">
      <c r="B206" s="263"/>
      <c r="C206" s="264"/>
      <c r="D206" s="2" t="s">
        <v>3</v>
      </c>
      <c r="E206" s="2" t="s">
        <v>4</v>
      </c>
      <c r="F206" s="20" t="s">
        <v>5</v>
      </c>
      <c r="G206" s="2" t="s">
        <v>6</v>
      </c>
      <c r="H206" s="27"/>
      <c r="I206" s="269"/>
      <c r="J206" s="271"/>
      <c r="K206" s="33"/>
      <c r="L206" s="27"/>
      <c r="M206" s="27"/>
      <c r="N206" s="27"/>
      <c r="O206" s="27"/>
      <c r="P206" s="27"/>
      <c r="Q206" s="27"/>
      <c r="R206" s="27"/>
      <c r="S206" s="27"/>
    </row>
    <row r="207" spans="2:19" x14ac:dyDescent="0.3">
      <c r="B207" s="263"/>
      <c r="C207" s="264"/>
      <c r="D207" s="5"/>
      <c r="E207" s="5"/>
      <c r="F207" s="21"/>
      <c r="G207" s="5"/>
      <c r="H207" s="6"/>
      <c r="I207" s="269"/>
      <c r="J207" s="271"/>
      <c r="K207" s="29"/>
      <c r="L207" s="10"/>
      <c r="M207" s="10"/>
      <c r="N207" s="10"/>
      <c r="O207" s="10"/>
      <c r="P207" s="10"/>
      <c r="Q207" s="10"/>
      <c r="R207" s="10"/>
      <c r="S207" s="10"/>
    </row>
    <row r="208" spans="2:19" ht="31.2" x14ac:dyDescent="0.3">
      <c r="B208" s="7"/>
      <c r="C208" s="15"/>
      <c r="D208" s="260" t="s">
        <v>17</v>
      </c>
      <c r="E208" s="260"/>
      <c r="F208" s="260"/>
      <c r="G208" s="260"/>
      <c r="H208" s="260" t="s">
        <v>9</v>
      </c>
      <c r="I208" s="260"/>
      <c r="J208" s="8"/>
      <c r="K208" s="261" t="s">
        <v>13</v>
      </c>
      <c r="L208" s="262"/>
      <c r="M208" s="261" t="s">
        <v>14</v>
      </c>
      <c r="N208" s="262"/>
      <c r="O208" s="8" t="s">
        <v>15</v>
      </c>
      <c r="P208" s="8" t="s">
        <v>101</v>
      </c>
      <c r="Q208" s="8" t="s">
        <v>103</v>
      </c>
      <c r="R208" s="8" t="s">
        <v>104</v>
      </c>
      <c r="S208" s="8" t="s">
        <v>131</v>
      </c>
    </row>
    <row r="209" spans="2:19" ht="15.6" x14ac:dyDescent="0.3">
      <c r="B209" s="7"/>
      <c r="C209" s="15"/>
      <c r="D209" s="260"/>
      <c r="E209" s="260"/>
      <c r="F209" s="260"/>
      <c r="G209" s="260"/>
      <c r="H209" s="4" t="s">
        <v>7</v>
      </c>
      <c r="I209" s="4" t="s">
        <v>8</v>
      </c>
      <c r="J209" s="3" t="s">
        <v>8</v>
      </c>
      <c r="K209" s="26">
        <v>45901</v>
      </c>
      <c r="L209" s="26">
        <v>45992</v>
      </c>
      <c r="M209" s="26">
        <v>45931</v>
      </c>
      <c r="N209" s="30">
        <v>45992</v>
      </c>
      <c r="O209" s="30">
        <v>45992</v>
      </c>
      <c r="P209" s="30">
        <v>45992</v>
      </c>
      <c r="Q209" s="30"/>
      <c r="R209" s="30"/>
      <c r="S209" s="30"/>
    </row>
    <row r="210" spans="2:19" ht="15.6" x14ac:dyDescent="0.3">
      <c r="B210" s="263">
        <v>23</v>
      </c>
      <c r="C210" s="264" t="s">
        <v>33</v>
      </c>
      <c r="D210" s="265" t="s">
        <v>2</v>
      </c>
      <c r="E210" s="265"/>
      <c r="F210" s="265"/>
      <c r="G210" s="265"/>
      <c r="H210" s="4"/>
      <c r="I210" s="266">
        <v>1000</v>
      </c>
      <c r="J210" s="267">
        <v>1500</v>
      </c>
      <c r="K210" s="11"/>
      <c r="L210" s="11"/>
      <c r="M210" s="11"/>
      <c r="N210" s="10"/>
      <c r="O210" s="10"/>
      <c r="P210" s="10"/>
      <c r="Q210" s="10"/>
      <c r="R210" s="10"/>
      <c r="S210" s="10"/>
    </row>
    <row r="211" spans="2:19" ht="15.6" x14ac:dyDescent="0.3">
      <c r="B211" s="263"/>
      <c r="C211" s="264"/>
      <c r="D211" s="23" t="s">
        <v>3</v>
      </c>
      <c r="E211" s="23" t="s">
        <v>4</v>
      </c>
      <c r="F211" s="24" t="s">
        <v>5</v>
      </c>
      <c r="G211" s="23" t="s">
        <v>6</v>
      </c>
      <c r="H211" s="27"/>
      <c r="I211" s="266"/>
      <c r="J211" s="267"/>
      <c r="K211" s="31"/>
      <c r="L211" s="31"/>
      <c r="M211" s="31"/>
      <c r="N211" s="27"/>
      <c r="O211" s="27"/>
      <c r="P211" s="27"/>
      <c r="Q211" s="27"/>
      <c r="R211" s="27"/>
      <c r="S211" s="27"/>
    </row>
    <row r="212" spans="2:19" ht="33.75" customHeight="1" x14ac:dyDescent="0.3">
      <c r="B212" s="263"/>
      <c r="C212" s="264"/>
      <c r="D212" s="5" t="s">
        <v>97</v>
      </c>
      <c r="E212" s="5" t="s">
        <v>38</v>
      </c>
      <c r="F212" s="21">
        <v>249</v>
      </c>
      <c r="G212" s="5"/>
      <c r="H212" s="6">
        <v>18</v>
      </c>
      <c r="I212" s="266"/>
      <c r="J212" s="267"/>
      <c r="K212" s="11">
        <v>2</v>
      </c>
      <c r="L212" s="11"/>
      <c r="M212" s="11"/>
      <c r="N212" s="10"/>
      <c r="O212" s="10"/>
      <c r="P212" s="10">
        <v>1</v>
      </c>
      <c r="Q212" s="10"/>
      <c r="R212" s="10"/>
      <c r="S212" s="10"/>
    </row>
    <row r="213" spans="2:19" ht="31.2" x14ac:dyDescent="0.3">
      <c r="B213" s="7"/>
      <c r="C213" s="15"/>
      <c r="D213" s="260" t="s">
        <v>17</v>
      </c>
      <c r="E213" s="260"/>
      <c r="F213" s="260"/>
      <c r="G213" s="260"/>
      <c r="H213" s="260" t="s">
        <v>9</v>
      </c>
      <c r="I213" s="260"/>
      <c r="J213" s="8"/>
      <c r="K213" s="261" t="s">
        <v>13</v>
      </c>
      <c r="L213" s="262"/>
      <c r="M213" s="261" t="s">
        <v>14</v>
      </c>
      <c r="N213" s="262"/>
      <c r="O213" s="8" t="s">
        <v>15</v>
      </c>
      <c r="P213" s="8" t="s">
        <v>101</v>
      </c>
      <c r="Q213" s="8" t="s">
        <v>103</v>
      </c>
      <c r="R213" s="8" t="s">
        <v>104</v>
      </c>
      <c r="S213" s="8" t="s">
        <v>131</v>
      </c>
    </row>
    <row r="214" spans="2:19" ht="15.6" x14ac:dyDescent="0.3">
      <c r="B214" s="7"/>
      <c r="C214" s="15"/>
      <c r="D214" s="260"/>
      <c r="E214" s="260"/>
      <c r="F214" s="260"/>
      <c r="G214" s="260"/>
      <c r="H214" s="4" t="s">
        <v>7</v>
      </c>
      <c r="I214" s="4" t="s">
        <v>8</v>
      </c>
      <c r="J214" s="3" t="s">
        <v>8</v>
      </c>
      <c r="K214" s="26">
        <v>45901</v>
      </c>
      <c r="L214" s="26">
        <v>45992</v>
      </c>
      <c r="M214" s="26">
        <v>45931</v>
      </c>
      <c r="N214" s="30">
        <v>45992</v>
      </c>
      <c r="O214" s="30">
        <v>45992</v>
      </c>
      <c r="P214" s="30">
        <v>45992</v>
      </c>
      <c r="Q214" s="30"/>
      <c r="R214" s="30"/>
      <c r="S214" s="30"/>
    </row>
    <row r="215" spans="2:19" ht="15.6" x14ac:dyDescent="0.3">
      <c r="B215" s="263">
        <v>24</v>
      </c>
      <c r="C215" s="264" t="s">
        <v>59</v>
      </c>
      <c r="D215" s="265" t="s">
        <v>2</v>
      </c>
      <c r="E215" s="265"/>
      <c r="F215" s="265"/>
      <c r="G215" s="265"/>
      <c r="H215" s="6"/>
      <c r="I215" s="268">
        <v>1000</v>
      </c>
      <c r="J215" s="270">
        <v>1500</v>
      </c>
      <c r="K215" s="28"/>
      <c r="L215" s="11"/>
      <c r="M215" s="11"/>
      <c r="N215" s="10"/>
      <c r="O215" s="10"/>
      <c r="P215" s="10"/>
      <c r="Q215" s="10"/>
      <c r="R215" s="10"/>
      <c r="S215" s="10"/>
    </row>
    <row r="216" spans="2:19" ht="15.6" x14ac:dyDescent="0.3">
      <c r="B216" s="263"/>
      <c r="C216" s="264"/>
      <c r="D216" s="23" t="s">
        <v>3</v>
      </c>
      <c r="E216" s="23" t="s">
        <v>4</v>
      </c>
      <c r="F216" s="24" t="s">
        <v>5</v>
      </c>
      <c r="G216" s="23" t="s">
        <v>6</v>
      </c>
      <c r="H216" s="27"/>
      <c r="I216" s="269"/>
      <c r="J216" s="271"/>
      <c r="K216" s="32"/>
      <c r="L216" s="31"/>
      <c r="M216" s="31"/>
      <c r="N216" s="27"/>
      <c r="O216" s="27"/>
      <c r="P216" s="27"/>
      <c r="Q216" s="27"/>
      <c r="R216" s="27"/>
      <c r="S216" s="27"/>
    </row>
    <row r="217" spans="2:19" x14ac:dyDescent="0.3">
      <c r="B217" s="263"/>
      <c r="C217" s="264"/>
      <c r="D217" s="5" t="s">
        <v>60</v>
      </c>
      <c r="E217" s="5"/>
      <c r="F217" s="21">
        <v>199</v>
      </c>
      <c r="G217" s="5"/>
      <c r="H217" s="6">
        <v>10</v>
      </c>
      <c r="I217" s="269"/>
      <c r="J217" s="271"/>
      <c r="K217" s="28"/>
      <c r="L217" s="11"/>
      <c r="M217" s="11">
        <v>1</v>
      </c>
      <c r="N217" s="10"/>
      <c r="O217" s="10"/>
      <c r="P217" s="10"/>
      <c r="Q217" s="10"/>
      <c r="R217" s="10"/>
      <c r="S217" s="10"/>
    </row>
    <row r="218" spans="2:19" ht="15.6" x14ac:dyDescent="0.3">
      <c r="B218" s="263"/>
      <c r="C218" s="264"/>
      <c r="D218" s="265" t="s">
        <v>10</v>
      </c>
      <c r="E218" s="265"/>
      <c r="F218" s="265"/>
      <c r="G218" s="265"/>
      <c r="H218" s="4"/>
      <c r="I218" s="269"/>
      <c r="J218" s="271"/>
      <c r="K218" s="28"/>
      <c r="L218" s="11"/>
      <c r="M218" s="11"/>
      <c r="N218" s="10"/>
      <c r="O218" s="10"/>
      <c r="P218" s="10"/>
      <c r="Q218" s="10"/>
      <c r="R218" s="10"/>
      <c r="S218" s="10"/>
    </row>
    <row r="219" spans="2:19" ht="15.6" x14ac:dyDescent="0.3">
      <c r="B219" s="263"/>
      <c r="C219" s="264"/>
      <c r="D219" s="23" t="s">
        <v>3</v>
      </c>
      <c r="E219" s="23" t="s">
        <v>4</v>
      </c>
      <c r="F219" s="24" t="s">
        <v>5</v>
      </c>
      <c r="G219" s="23" t="s">
        <v>6</v>
      </c>
      <c r="H219" s="27"/>
      <c r="I219" s="269"/>
      <c r="J219" s="271"/>
      <c r="K219" s="32"/>
      <c r="L219" s="31"/>
      <c r="M219" s="31"/>
      <c r="N219" s="27"/>
      <c r="O219" s="27"/>
      <c r="P219" s="27"/>
      <c r="Q219" s="27"/>
      <c r="R219" s="27"/>
      <c r="S219" s="27"/>
    </row>
    <row r="220" spans="2:19" x14ac:dyDescent="0.3">
      <c r="B220" s="263"/>
      <c r="C220" s="264"/>
      <c r="D220" s="5" t="s">
        <v>61</v>
      </c>
      <c r="E220" s="5"/>
      <c r="F220" s="21">
        <v>249</v>
      </c>
      <c r="G220" s="5"/>
      <c r="H220" s="6">
        <v>10</v>
      </c>
      <c r="I220" s="269"/>
      <c r="J220" s="271"/>
      <c r="K220" s="28"/>
      <c r="L220" s="11"/>
      <c r="M220" s="11">
        <v>1</v>
      </c>
      <c r="N220" s="10"/>
      <c r="O220" s="10"/>
      <c r="P220" s="10"/>
      <c r="Q220" s="10"/>
      <c r="R220" s="10"/>
      <c r="S220" s="10"/>
    </row>
    <row r="221" spans="2:19" ht="15.6" x14ac:dyDescent="0.3">
      <c r="B221" s="263"/>
      <c r="C221" s="264"/>
      <c r="D221" s="265" t="s">
        <v>11</v>
      </c>
      <c r="E221" s="265"/>
      <c r="F221" s="265"/>
      <c r="G221" s="265"/>
      <c r="H221" s="6"/>
      <c r="I221" s="269"/>
      <c r="J221" s="271"/>
      <c r="K221" s="28"/>
      <c r="L221" s="11"/>
      <c r="M221" s="11"/>
      <c r="N221" s="10"/>
      <c r="O221" s="10"/>
      <c r="P221" s="10"/>
      <c r="Q221" s="10"/>
      <c r="R221" s="10"/>
      <c r="S221" s="10"/>
    </row>
    <row r="222" spans="2:19" ht="15.6" x14ac:dyDescent="0.3">
      <c r="B222" s="263"/>
      <c r="C222" s="264"/>
      <c r="D222" s="23" t="s">
        <v>3</v>
      </c>
      <c r="E222" s="23" t="s">
        <v>4</v>
      </c>
      <c r="F222" s="24" t="s">
        <v>5</v>
      </c>
      <c r="G222" s="23" t="s">
        <v>6</v>
      </c>
      <c r="H222" s="23"/>
      <c r="I222" s="269"/>
      <c r="J222" s="271"/>
      <c r="K222" s="32"/>
      <c r="L222" s="31"/>
      <c r="M222" s="31"/>
      <c r="N222" s="27"/>
      <c r="O222" s="27"/>
      <c r="P222" s="27"/>
      <c r="Q222" s="27"/>
      <c r="R222" s="27"/>
      <c r="S222" s="27"/>
    </row>
    <row r="223" spans="2:19" x14ac:dyDescent="0.3">
      <c r="B223" s="263"/>
      <c r="C223" s="264"/>
      <c r="D223" s="5" t="s">
        <v>62</v>
      </c>
      <c r="E223" s="5"/>
      <c r="F223" s="21">
        <v>225</v>
      </c>
      <c r="G223" s="5"/>
      <c r="H223" s="6">
        <v>2</v>
      </c>
      <c r="I223" s="269"/>
      <c r="J223" s="271"/>
      <c r="K223" s="28"/>
      <c r="L223" s="11"/>
      <c r="M223" s="11"/>
      <c r="N223" s="10"/>
      <c r="O223" s="10"/>
      <c r="P223" s="10"/>
      <c r="Q223" s="10"/>
      <c r="R223" s="10"/>
      <c r="S223" s="10"/>
    </row>
    <row r="224" spans="2:19" ht="15.6" x14ac:dyDescent="0.3">
      <c r="B224" s="263"/>
      <c r="C224" s="264"/>
      <c r="D224" s="265"/>
      <c r="E224" s="265"/>
      <c r="F224" s="265"/>
      <c r="G224" s="265"/>
      <c r="H224" s="6"/>
      <c r="I224" s="269"/>
      <c r="J224" s="271"/>
      <c r="K224" s="28"/>
      <c r="L224" s="11"/>
      <c r="M224" s="11"/>
      <c r="N224" s="10"/>
      <c r="O224" s="10"/>
      <c r="P224" s="10"/>
      <c r="Q224" s="10"/>
      <c r="R224" s="10"/>
      <c r="S224" s="10"/>
    </row>
    <row r="225" spans="2:19" ht="31.2" x14ac:dyDescent="0.3">
      <c r="B225" s="7"/>
      <c r="C225" s="15"/>
      <c r="D225" s="260" t="s">
        <v>17</v>
      </c>
      <c r="E225" s="260"/>
      <c r="F225" s="260"/>
      <c r="G225" s="260"/>
      <c r="H225" s="260" t="s">
        <v>9</v>
      </c>
      <c r="I225" s="260"/>
      <c r="J225" s="8"/>
      <c r="K225" s="261" t="s">
        <v>13</v>
      </c>
      <c r="L225" s="262"/>
      <c r="M225" s="261" t="s">
        <v>14</v>
      </c>
      <c r="N225" s="262"/>
      <c r="O225" s="8" t="s">
        <v>15</v>
      </c>
      <c r="P225" s="8" t="s">
        <v>101</v>
      </c>
      <c r="Q225" s="8" t="s">
        <v>103</v>
      </c>
      <c r="R225" s="8" t="s">
        <v>104</v>
      </c>
      <c r="S225" s="8" t="s">
        <v>131</v>
      </c>
    </row>
    <row r="226" spans="2:19" ht="31.2" x14ac:dyDescent="0.3">
      <c r="B226" s="7"/>
      <c r="C226" s="15"/>
      <c r="D226" s="260"/>
      <c r="E226" s="260"/>
      <c r="F226" s="260"/>
      <c r="G226" s="260"/>
      <c r="H226" s="4" t="s">
        <v>7</v>
      </c>
      <c r="I226" s="4" t="s">
        <v>8</v>
      </c>
      <c r="J226" s="3" t="s">
        <v>8</v>
      </c>
      <c r="K226" s="26">
        <v>45901</v>
      </c>
      <c r="L226" s="26">
        <v>45992</v>
      </c>
      <c r="M226" s="26">
        <v>45931</v>
      </c>
      <c r="N226" s="30">
        <v>45992</v>
      </c>
      <c r="O226" s="9" t="s">
        <v>16</v>
      </c>
      <c r="P226" s="30">
        <v>45992</v>
      </c>
      <c r="Q226" s="30"/>
      <c r="R226" s="30"/>
      <c r="S226" s="30"/>
    </row>
    <row r="227" spans="2:19" ht="15.6" x14ac:dyDescent="0.3">
      <c r="B227" s="263">
        <v>25</v>
      </c>
      <c r="C227" s="264" t="s">
        <v>129</v>
      </c>
      <c r="D227" s="265" t="s">
        <v>2</v>
      </c>
      <c r="E227" s="265"/>
      <c r="F227" s="265"/>
      <c r="G227" s="265"/>
      <c r="H227" s="6"/>
      <c r="I227" s="268"/>
      <c r="J227" s="270">
        <v>1500</v>
      </c>
      <c r="K227" s="28"/>
      <c r="L227" s="11"/>
      <c r="M227" s="11"/>
      <c r="N227" s="10"/>
      <c r="O227" s="10"/>
      <c r="P227" s="10"/>
      <c r="Q227" s="10"/>
      <c r="R227" s="10"/>
      <c r="S227" s="10"/>
    </row>
    <row r="228" spans="2:19" ht="15.6" x14ac:dyDescent="0.3">
      <c r="B228" s="263"/>
      <c r="C228" s="264"/>
      <c r="D228" s="23" t="s">
        <v>3</v>
      </c>
      <c r="E228" s="23" t="s">
        <v>4</v>
      </c>
      <c r="F228" s="24" t="s">
        <v>5</v>
      </c>
      <c r="G228" s="23" t="s">
        <v>6</v>
      </c>
      <c r="H228" s="27"/>
      <c r="I228" s="269"/>
      <c r="J228" s="271"/>
      <c r="K228" s="32"/>
      <c r="L228" s="31"/>
      <c r="M228" s="31"/>
      <c r="N228" s="27"/>
      <c r="O228" s="27"/>
      <c r="P228" s="27"/>
      <c r="Q228" s="27"/>
      <c r="R228" s="27"/>
      <c r="S228" s="27"/>
    </row>
    <row r="229" spans="2:19" ht="15.6" x14ac:dyDescent="0.3">
      <c r="B229" s="263"/>
      <c r="C229" s="264"/>
      <c r="D229" s="5" t="s">
        <v>63</v>
      </c>
      <c r="E229" s="5"/>
      <c r="F229" s="21">
        <v>299</v>
      </c>
      <c r="G229" s="5"/>
      <c r="H229" s="4"/>
      <c r="I229" s="269"/>
      <c r="J229" s="271"/>
      <c r="K229" s="28"/>
      <c r="L229" s="11">
        <v>2</v>
      </c>
      <c r="M229" s="11">
        <v>1</v>
      </c>
      <c r="N229" s="10"/>
      <c r="O229" s="10"/>
      <c r="P229" s="10"/>
      <c r="Q229" s="10"/>
      <c r="R229" s="10"/>
      <c r="S229" s="10"/>
    </row>
    <row r="230" spans="2:19" ht="15.6" x14ac:dyDescent="0.3">
      <c r="B230" s="263"/>
      <c r="C230" s="264"/>
      <c r="D230" s="265" t="s">
        <v>10</v>
      </c>
      <c r="E230" s="265"/>
      <c r="F230" s="265"/>
      <c r="G230" s="265"/>
      <c r="H230" s="4"/>
      <c r="I230" s="269"/>
      <c r="J230" s="271"/>
      <c r="K230" s="28"/>
      <c r="L230" s="11"/>
      <c r="M230" s="11"/>
      <c r="N230" s="10"/>
      <c r="O230" s="10"/>
      <c r="P230" s="10"/>
      <c r="Q230" s="10"/>
      <c r="R230" s="10"/>
      <c r="S230" s="10"/>
    </row>
    <row r="231" spans="2:19" ht="15.6" x14ac:dyDescent="0.3">
      <c r="B231" s="263"/>
      <c r="C231" s="264"/>
      <c r="D231" s="23" t="s">
        <v>3</v>
      </c>
      <c r="E231" s="23" t="s">
        <v>4</v>
      </c>
      <c r="F231" s="24" t="s">
        <v>5</v>
      </c>
      <c r="G231" s="23" t="s">
        <v>6</v>
      </c>
      <c r="H231" s="27"/>
      <c r="I231" s="269"/>
      <c r="J231" s="271"/>
      <c r="K231" s="32"/>
      <c r="L231" s="31"/>
      <c r="M231" s="31"/>
      <c r="N231" s="27"/>
      <c r="O231" s="27"/>
      <c r="P231" s="27"/>
      <c r="Q231" s="27"/>
      <c r="R231" s="27"/>
      <c r="S231" s="27"/>
    </row>
    <row r="232" spans="2:19" ht="19.5" customHeight="1" x14ac:dyDescent="0.3">
      <c r="B232" s="263"/>
      <c r="C232" s="264"/>
      <c r="D232" s="5" t="s">
        <v>64</v>
      </c>
      <c r="E232" s="5"/>
      <c r="F232" s="21">
        <v>150</v>
      </c>
      <c r="G232" s="5"/>
      <c r="H232" s="6"/>
      <c r="I232" s="269"/>
      <c r="J232" s="271"/>
      <c r="K232" s="28"/>
      <c r="L232" s="11">
        <v>2</v>
      </c>
      <c r="M232" s="11">
        <v>1</v>
      </c>
      <c r="N232" s="10"/>
      <c r="O232" s="10"/>
      <c r="P232" s="10"/>
      <c r="Q232" s="10"/>
      <c r="R232" s="10"/>
      <c r="S232" s="10"/>
    </row>
    <row r="233" spans="2:19" ht="31.2" x14ac:dyDescent="0.3">
      <c r="B233" s="7"/>
      <c r="C233" s="15"/>
      <c r="D233" s="260" t="s">
        <v>17</v>
      </c>
      <c r="E233" s="260"/>
      <c r="F233" s="260"/>
      <c r="G233" s="260"/>
      <c r="H233" s="260" t="s">
        <v>9</v>
      </c>
      <c r="I233" s="260"/>
      <c r="J233" s="8"/>
      <c r="K233" s="261" t="s">
        <v>13</v>
      </c>
      <c r="L233" s="262"/>
      <c r="M233" s="261" t="s">
        <v>14</v>
      </c>
      <c r="N233" s="262"/>
      <c r="O233" s="8" t="s">
        <v>15</v>
      </c>
      <c r="P233" s="8" t="s">
        <v>101</v>
      </c>
      <c r="Q233" s="8" t="s">
        <v>103</v>
      </c>
      <c r="R233" s="8" t="s">
        <v>104</v>
      </c>
      <c r="S233" s="8" t="s">
        <v>131</v>
      </c>
    </row>
    <row r="234" spans="2:19" ht="15.6" x14ac:dyDescent="0.3">
      <c r="B234" s="7"/>
      <c r="C234" s="15"/>
      <c r="D234" s="260"/>
      <c r="E234" s="260"/>
      <c r="F234" s="260"/>
      <c r="G234" s="260"/>
      <c r="H234" s="4" t="s">
        <v>7</v>
      </c>
      <c r="I234" s="4" t="s">
        <v>8</v>
      </c>
      <c r="J234" s="3" t="s">
        <v>8</v>
      </c>
      <c r="K234" s="26">
        <v>45901</v>
      </c>
      <c r="L234" s="26">
        <v>45992</v>
      </c>
      <c r="M234" s="26">
        <v>45931</v>
      </c>
      <c r="N234" s="30">
        <v>45992</v>
      </c>
      <c r="O234" s="30">
        <v>45992</v>
      </c>
      <c r="P234" s="30">
        <v>45992</v>
      </c>
      <c r="Q234" s="30"/>
      <c r="R234" s="30"/>
      <c r="S234" s="30"/>
    </row>
    <row r="235" spans="2:19" ht="15.6" x14ac:dyDescent="0.3">
      <c r="B235" s="263">
        <v>26</v>
      </c>
      <c r="C235" s="264" t="s">
        <v>67</v>
      </c>
      <c r="D235" s="265" t="s">
        <v>2</v>
      </c>
      <c r="E235" s="265"/>
      <c r="F235" s="265"/>
      <c r="G235" s="265"/>
      <c r="H235" s="6"/>
      <c r="I235" s="268">
        <v>1000</v>
      </c>
      <c r="J235" s="270">
        <v>1500</v>
      </c>
      <c r="K235" s="28"/>
      <c r="L235" s="11"/>
      <c r="M235" s="11"/>
      <c r="N235" s="10"/>
      <c r="O235" s="10"/>
      <c r="P235" s="10"/>
      <c r="Q235" s="10"/>
      <c r="R235" s="10"/>
      <c r="S235" s="10"/>
    </row>
    <row r="236" spans="2:19" ht="15.6" x14ac:dyDescent="0.3">
      <c r="B236" s="263"/>
      <c r="C236" s="264"/>
      <c r="D236" s="23" t="s">
        <v>3</v>
      </c>
      <c r="E236" s="23" t="s">
        <v>4</v>
      </c>
      <c r="F236" s="24" t="s">
        <v>5</v>
      </c>
      <c r="G236" s="23" t="s">
        <v>6</v>
      </c>
      <c r="H236" s="27"/>
      <c r="I236" s="269"/>
      <c r="J236" s="271"/>
      <c r="K236" s="32"/>
      <c r="L236" s="31"/>
      <c r="M236" s="31"/>
      <c r="N236" s="27"/>
      <c r="O236" s="27"/>
      <c r="P236" s="27"/>
      <c r="Q236" s="27"/>
      <c r="R236" s="27"/>
      <c r="S236" s="27"/>
    </row>
    <row r="237" spans="2:19" x14ac:dyDescent="0.3">
      <c r="B237" s="263"/>
      <c r="C237" s="264"/>
      <c r="D237" s="5" t="s">
        <v>71</v>
      </c>
      <c r="E237" s="5" t="s">
        <v>49</v>
      </c>
      <c r="F237" s="21">
        <v>260</v>
      </c>
      <c r="G237" s="5"/>
      <c r="H237" s="6">
        <v>5</v>
      </c>
      <c r="I237" s="269"/>
      <c r="J237" s="271"/>
      <c r="K237" s="11">
        <v>2</v>
      </c>
      <c r="L237" s="11"/>
      <c r="M237" s="11">
        <v>1</v>
      </c>
      <c r="N237" s="10"/>
      <c r="O237" s="10"/>
      <c r="P237" s="10"/>
      <c r="Q237" s="10"/>
      <c r="R237" s="10"/>
      <c r="S237" s="10"/>
    </row>
    <row r="238" spans="2:19" ht="15.6" x14ac:dyDescent="0.3">
      <c r="B238" s="263"/>
      <c r="C238" s="264"/>
      <c r="D238" s="265" t="s">
        <v>10</v>
      </c>
      <c r="E238" s="265"/>
      <c r="F238" s="265"/>
      <c r="G238" s="265"/>
      <c r="H238" s="4"/>
      <c r="I238" s="269"/>
      <c r="J238" s="271"/>
      <c r="K238" s="11"/>
      <c r="L238" s="11"/>
      <c r="M238" s="11"/>
      <c r="N238" s="10"/>
      <c r="O238" s="10"/>
      <c r="P238" s="10"/>
      <c r="Q238" s="10"/>
      <c r="R238" s="10"/>
      <c r="S238" s="10"/>
    </row>
    <row r="239" spans="2:19" ht="15.6" x14ac:dyDescent="0.3">
      <c r="B239" s="263"/>
      <c r="C239" s="264"/>
      <c r="D239" s="23" t="s">
        <v>3</v>
      </c>
      <c r="E239" s="23" t="s">
        <v>4</v>
      </c>
      <c r="F239" s="24" t="s">
        <v>5</v>
      </c>
      <c r="G239" s="23" t="s">
        <v>6</v>
      </c>
      <c r="H239" s="27"/>
      <c r="I239" s="269"/>
      <c r="J239" s="271"/>
      <c r="K239" s="31"/>
      <c r="L239" s="31"/>
      <c r="M239" s="31"/>
      <c r="N239" s="27"/>
      <c r="O239" s="27"/>
      <c r="P239" s="27"/>
      <c r="Q239" s="27"/>
      <c r="R239" s="27"/>
      <c r="S239" s="27"/>
    </row>
    <row r="240" spans="2:19" x14ac:dyDescent="0.3">
      <c r="B240" s="263"/>
      <c r="C240" s="264"/>
      <c r="D240" s="5" t="s">
        <v>72</v>
      </c>
      <c r="E240" s="5" t="s">
        <v>38</v>
      </c>
      <c r="F240" s="21">
        <v>375</v>
      </c>
      <c r="G240" s="5"/>
      <c r="H240" s="6">
        <v>5</v>
      </c>
      <c r="I240" s="269"/>
      <c r="J240" s="271"/>
      <c r="K240" s="11"/>
      <c r="L240" s="11"/>
      <c r="M240" s="11"/>
      <c r="N240" s="10"/>
      <c r="O240" s="10"/>
      <c r="P240" s="10"/>
      <c r="Q240" s="10"/>
      <c r="R240" s="10"/>
      <c r="S240" s="10"/>
    </row>
    <row r="241" spans="2:19" ht="15.6" x14ac:dyDescent="0.3">
      <c r="B241" s="263"/>
      <c r="C241" s="264"/>
      <c r="D241" s="265" t="s">
        <v>11</v>
      </c>
      <c r="E241" s="265"/>
      <c r="F241" s="265"/>
      <c r="G241" s="265"/>
      <c r="H241" s="6"/>
      <c r="I241" s="269"/>
      <c r="J241" s="271"/>
      <c r="K241" s="11"/>
      <c r="L241" s="11"/>
      <c r="M241" s="11"/>
      <c r="N241" s="10"/>
      <c r="O241" s="10"/>
      <c r="P241" s="10"/>
      <c r="Q241" s="10"/>
      <c r="R241" s="10"/>
      <c r="S241" s="10"/>
    </row>
    <row r="242" spans="2:19" ht="15.6" x14ac:dyDescent="0.3">
      <c r="B242" s="263"/>
      <c r="C242" s="264"/>
      <c r="D242" s="23" t="s">
        <v>3</v>
      </c>
      <c r="E242" s="23" t="s">
        <v>4</v>
      </c>
      <c r="F242" s="24" t="s">
        <v>5</v>
      </c>
      <c r="G242" s="23" t="s">
        <v>6</v>
      </c>
      <c r="H242" s="23"/>
      <c r="I242" s="269"/>
      <c r="J242" s="271"/>
      <c r="K242" s="31"/>
      <c r="L242" s="31"/>
      <c r="M242" s="31"/>
      <c r="N242" s="27"/>
      <c r="O242" s="27"/>
      <c r="P242" s="27"/>
      <c r="Q242" s="27"/>
      <c r="R242" s="27"/>
      <c r="S242" s="27"/>
    </row>
    <row r="243" spans="2:19" x14ac:dyDescent="0.3">
      <c r="B243" s="263"/>
      <c r="C243" s="264"/>
      <c r="D243" s="5" t="s">
        <v>73</v>
      </c>
      <c r="E243" s="5" t="s">
        <v>38</v>
      </c>
      <c r="F243" s="21">
        <v>475</v>
      </c>
      <c r="G243" s="5"/>
      <c r="H243" s="6">
        <v>5</v>
      </c>
      <c r="I243" s="269"/>
      <c r="J243" s="271"/>
      <c r="K243" s="11"/>
      <c r="L243" s="11"/>
      <c r="M243" s="11"/>
      <c r="N243" s="10"/>
      <c r="O243" s="10"/>
      <c r="P243" s="10"/>
      <c r="Q243" s="10"/>
      <c r="R243" s="10"/>
      <c r="S243" s="10"/>
    </row>
    <row r="244" spans="2:19" ht="15.6" x14ac:dyDescent="0.3">
      <c r="B244" s="263"/>
      <c r="C244" s="264"/>
      <c r="D244" s="265" t="s">
        <v>12</v>
      </c>
      <c r="E244" s="265"/>
      <c r="F244" s="265"/>
      <c r="G244" s="265"/>
      <c r="H244" s="6"/>
      <c r="I244" s="269"/>
      <c r="J244" s="271"/>
      <c r="K244" s="11"/>
      <c r="L244" s="11"/>
      <c r="M244" s="11"/>
      <c r="N244" s="10"/>
      <c r="O244" s="10"/>
      <c r="P244" s="10"/>
      <c r="Q244" s="10"/>
      <c r="R244" s="10"/>
      <c r="S244" s="10"/>
    </row>
    <row r="245" spans="2:19" ht="15.6" x14ac:dyDescent="0.3">
      <c r="B245" s="263"/>
      <c r="C245" s="264"/>
      <c r="D245" s="23" t="s">
        <v>3</v>
      </c>
      <c r="E245" s="23" t="s">
        <v>4</v>
      </c>
      <c r="F245" s="24" t="s">
        <v>5</v>
      </c>
      <c r="G245" s="23" t="s">
        <v>6</v>
      </c>
      <c r="H245" s="27"/>
      <c r="I245" s="269"/>
      <c r="J245" s="271"/>
      <c r="K245" s="31"/>
      <c r="L245" s="31"/>
      <c r="M245" s="31"/>
      <c r="N245" s="27"/>
      <c r="O245" s="27"/>
      <c r="P245" s="27"/>
      <c r="Q245" s="27"/>
      <c r="R245" s="27"/>
      <c r="S245" s="27"/>
    </row>
    <row r="246" spans="2:19" x14ac:dyDescent="0.3">
      <c r="B246" s="263"/>
      <c r="C246" s="264"/>
      <c r="D246" s="5" t="s">
        <v>74</v>
      </c>
      <c r="E246" s="5" t="s">
        <v>49</v>
      </c>
      <c r="F246" s="21">
        <v>150</v>
      </c>
      <c r="G246" s="5"/>
      <c r="H246" s="6">
        <v>2</v>
      </c>
      <c r="I246" s="269"/>
      <c r="J246" s="271"/>
      <c r="K246" s="11">
        <v>2</v>
      </c>
      <c r="L246" s="11"/>
      <c r="M246" s="11">
        <v>1</v>
      </c>
      <c r="N246" s="10"/>
      <c r="O246" s="10"/>
      <c r="P246" s="10"/>
      <c r="Q246" s="10"/>
      <c r="R246" s="10"/>
      <c r="S246" s="10"/>
    </row>
    <row r="247" spans="2:19" ht="15.6" x14ac:dyDescent="0.3">
      <c r="B247" s="263"/>
      <c r="C247" s="264"/>
      <c r="D247" s="265" t="s">
        <v>36</v>
      </c>
      <c r="E247" s="265"/>
      <c r="F247" s="265"/>
      <c r="G247" s="265"/>
      <c r="H247" s="6"/>
      <c r="I247" s="269"/>
      <c r="J247" s="271"/>
      <c r="K247" s="11"/>
      <c r="L247" s="11"/>
      <c r="M247" s="11"/>
      <c r="N247" s="10"/>
      <c r="O247" s="10"/>
      <c r="P247" s="10"/>
      <c r="Q247" s="10"/>
      <c r="R247" s="10"/>
      <c r="S247" s="10"/>
    </row>
    <row r="248" spans="2:19" ht="15.6" x14ac:dyDescent="0.3">
      <c r="B248" s="263"/>
      <c r="C248" s="264"/>
      <c r="D248" s="23" t="s">
        <v>3</v>
      </c>
      <c r="E248" s="23" t="s">
        <v>4</v>
      </c>
      <c r="F248" s="24" t="s">
        <v>5</v>
      </c>
      <c r="G248" s="23" t="s">
        <v>6</v>
      </c>
      <c r="H248" s="27"/>
      <c r="I248" s="269"/>
      <c r="J248" s="271"/>
      <c r="K248" s="31"/>
      <c r="L248" s="31"/>
      <c r="M248" s="31"/>
      <c r="N248" s="27"/>
      <c r="O248" s="27"/>
      <c r="P248" s="27"/>
      <c r="Q248" s="27"/>
      <c r="R248" s="27"/>
      <c r="S248" s="27"/>
    </row>
    <row r="249" spans="2:19" ht="15.6" x14ac:dyDescent="0.3">
      <c r="B249" s="263"/>
      <c r="C249" s="264"/>
      <c r="D249" s="5" t="s">
        <v>75</v>
      </c>
      <c r="E249" s="5" t="s">
        <v>76</v>
      </c>
      <c r="F249" s="21">
        <v>150</v>
      </c>
      <c r="G249" s="5"/>
      <c r="H249" s="4"/>
      <c r="I249" s="273"/>
      <c r="J249" s="272"/>
      <c r="K249" s="11"/>
      <c r="L249" s="11"/>
      <c r="M249" s="11"/>
      <c r="N249" s="10"/>
      <c r="O249" s="10"/>
      <c r="P249" s="10"/>
      <c r="Q249" s="10"/>
      <c r="R249" s="10"/>
      <c r="S249" s="10"/>
    </row>
    <row r="250" spans="2:19" ht="31.2" x14ac:dyDescent="0.3">
      <c r="B250" s="7"/>
      <c r="C250" s="15"/>
      <c r="D250" s="260" t="s">
        <v>17</v>
      </c>
      <c r="E250" s="260"/>
      <c r="F250" s="260"/>
      <c r="G250" s="260"/>
      <c r="H250" s="260" t="s">
        <v>9</v>
      </c>
      <c r="I250" s="260"/>
      <c r="J250" s="8"/>
      <c r="K250" s="261" t="s">
        <v>13</v>
      </c>
      <c r="L250" s="262"/>
      <c r="M250" s="261" t="s">
        <v>14</v>
      </c>
      <c r="N250" s="262"/>
      <c r="O250" s="8" t="s">
        <v>15</v>
      </c>
      <c r="P250" s="8" t="s">
        <v>101</v>
      </c>
      <c r="Q250" s="8" t="s">
        <v>103</v>
      </c>
      <c r="R250" s="8" t="s">
        <v>104</v>
      </c>
      <c r="S250" s="8" t="s">
        <v>131</v>
      </c>
    </row>
    <row r="251" spans="2:19" ht="15.6" x14ac:dyDescent="0.3">
      <c r="B251" s="7"/>
      <c r="C251" s="15"/>
      <c r="D251" s="260"/>
      <c r="E251" s="260"/>
      <c r="F251" s="260"/>
      <c r="G251" s="260"/>
      <c r="H251" s="4" t="s">
        <v>7</v>
      </c>
      <c r="I251" s="4" t="s">
        <v>8</v>
      </c>
      <c r="J251" s="3" t="s">
        <v>8</v>
      </c>
      <c r="K251" s="26">
        <v>45901</v>
      </c>
      <c r="L251" s="26">
        <v>45992</v>
      </c>
      <c r="M251" s="26">
        <v>45931</v>
      </c>
      <c r="N251" s="30">
        <v>45992</v>
      </c>
      <c r="O251" s="30">
        <v>45992</v>
      </c>
      <c r="P251" s="30">
        <v>45992</v>
      </c>
      <c r="Q251" s="30"/>
      <c r="R251" s="30"/>
      <c r="S251" s="30"/>
    </row>
    <row r="252" spans="2:19" ht="15.6" x14ac:dyDescent="0.3">
      <c r="B252" s="263">
        <v>28</v>
      </c>
      <c r="C252" s="264" t="s">
        <v>68</v>
      </c>
      <c r="D252" s="265" t="s">
        <v>2</v>
      </c>
      <c r="E252" s="265"/>
      <c r="F252" s="265"/>
      <c r="G252" s="265"/>
      <c r="H252" s="6"/>
      <c r="I252" s="268">
        <v>1000</v>
      </c>
      <c r="J252" s="270">
        <v>1500</v>
      </c>
      <c r="K252" s="11"/>
      <c r="L252" s="11"/>
      <c r="M252" s="11"/>
      <c r="N252" s="10"/>
      <c r="O252" s="10"/>
      <c r="P252" s="10"/>
      <c r="Q252" s="10"/>
      <c r="R252" s="10"/>
      <c r="S252" s="10"/>
    </row>
    <row r="253" spans="2:19" ht="15.6" x14ac:dyDescent="0.3">
      <c r="B253" s="263"/>
      <c r="C253" s="264"/>
      <c r="D253" s="23" t="s">
        <v>3</v>
      </c>
      <c r="E253" s="23" t="s">
        <v>4</v>
      </c>
      <c r="F253" s="24" t="s">
        <v>5</v>
      </c>
      <c r="G253" s="23" t="s">
        <v>6</v>
      </c>
      <c r="H253" s="27"/>
      <c r="I253" s="269"/>
      <c r="J253" s="271"/>
      <c r="K253" s="31"/>
      <c r="L253" s="31"/>
      <c r="M253" s="31"/>
      <c r="N253" s="27"/>
      <c r="O253" s="27"/>
      <c r="P253" s="27"/>
      <c r="Q253" s="27"/>
      <c r="R253" s="27"/>
      <c r="S253" s="27"/>
    </row>
    <row r="254" spans="2:19" x14ac:dyDescent="0.3">
      <c r="B254" s="263"/>
      <c r="C254" s="264"/>
      <c r="D254" s="5" t="s">
        <v>102</v>
      </c>
      <c r="E254" s="5" t="s">
        <v>88</v>
      </c>
      <c r="F254" s="21">
        <v>200</v>
      </c>
      <c r="G254" s="5"/>
      <c r="H254" s="6">
        <v>8</v>
      </c>
      <c r="I254" s="269"/>
      <c r="J254" s="271"/>
      <c r="K254" s="11">
        <v>2</v>
      </c>
      <c r="L254" s="11">
        <v>1</v>
      </c>
      <c r="M254" s="11"/>
      <c r="N254" s="10">
        <v>5</v>
      </c>
      <c r="O254" s="10">
        <v>2</v>
      </c>
      <c r="P254" s="10">
        <v>1</v>
      </c>
      <c r="Q254" s="10">
        <v>1</v>
      </c>
      <c r="R254" s="10"/>
      <c r="S254" s="10">
        <v>1</v>
      </c>
    </row>
    <row r="255" spans="2:19" ht="15.6" x14ac:dyDescent="0.3">
      <c r="B255" s="263"/>
      <c r="C255" s="264"/>
      <c r="D255" s="265" t="s">
        <v>10</v>
      </c>
      <c r="E255" s="265"/>
      <c r="F255" s="265"/>
      <c r="G255" s="265"/>
      <c r="H255" s="4"/>
      <c r="I255" s="269"/>
      <c r="J255" s="271"/>
      <c r="K255" s="11"/>
      <c r="L255" s="11"/>
      <c r="M255" s="11"/>
      <c r="N255" s="10"/>
      <c r="O255" s="10"/>
      <c r="P255" s="10"/>
      <c r="Q255" s="10"/>
      <c r="R255" s="10"/>
      <c r="S255" s="10"/>
    </row>
    <row r="256" spans="2:19" ht="15.6" x14ac:dyDescent="0.3">
      <c r="B256" s="263"/>
      <c r="C256" s="264"/>
      <c r="D256" s="23" t="s">
        <v>3</v>
      </c>
      <c r="E256" s="23" t="s">
        <v>4</v>
      </c>
      <c r="F256" s="24" t="s">
        <v>5</v>
      </c>
      <c r="G256" s="23" t="s">
        <v>6</v>
      </c>
      <c r="H256" s="27"/>
      <c r="I256" s="269"/>
      <c r="J256" s="271"/>
      <c r="K256" s="31"/>
      <c r="L256" s="31"/>
      <c r="M256" s="31"/>
      <c r="N256" s="27"/>
      <c r="O256" s="27"/>
      <c r="P256" s="27"/>
      <c r="Q256" s="27"/>
      <c r="R256" s="27"/>
      <c r="S256" s="27"/>
    </row>
    <row r="257" spans="2:19" x14ac:dyDescent="0.3">
      <c r="B257" s="263"/>
      <c r="C257" s="264"/>
      <c r="D257" s="5"/>
      <c r="E257" s="5"/>
      <c r="F257" s="21"/>
      <c r="G257" s="5"/>
      <c r="H257" s="6"/>
      <c r="I257" s="269"/>
      <c r="J257" s="271"/>
      <c r="K257" s="11"/>
      <c r="L257" s="11"/>
      <c r="M257" s="11"/>
      <c r="N257" s="10"/>
      <c r="O257" s="10"/>
      <c r="P257" s="10"/>
      <c r="Q257" s="10"/>
      <c r="R257" s="10"/>
      <c r="S257" s="10"/>
    </row>
    <row r="258" spans="2:19" ht="31.2" x14ac:dyDescent="0.3">
      <c r="B258" s="7"/>
      <c r="C258" s="15"/>
      <c r="D258" s="260" t="s">
        <v>17</v>
      </c>
      <c r="E258" s="260"/>
      <c r="F258" s="260"/>
      <c r="G258" s="260"/>
      <c r="H258" s="260" t="s">
        <v>9</v>
      </c>
      <c r="I258" s="260"/>
      <c r="J258" s="8"/>
      <c r="K258" s="261" t="s">
        <v>13</v>
      </c>
      <c r="L258" s="262"/>
      <c r="M258" s="261" t="s">
        <v>14</v>
      </c>
      <c r="N258" s="262"/>
      <c r="O258" s="8" t="s">
        <v>15</v>
      </c>
      <c r="P258" s="8" t="s">
        <v>101</v>
      </c>
      <c r="Q258" s="8" t="s">
        <v>103</v>
      </c>
      <c r="R258" s="8" t="s">
        <v>104</v>
      </c>
      <c r="S258" s="8" t="s">
        <v>131</v>
      </c>
    </row>
    <row r="259" spans="2:19" ht="15.6" x14ac:dyDescent="0.3">
      <c r="B259" s="7"/>
      <c r="C259" s="15"/>
      <c r="D259" s="260"/>
      <c r="E259" s="260"/>
      <c r="F259" s="260"/>
      <c r="G259" s="260"/>
      <c r="H259" s="4" t="s">
        <v>7</v>
      </c>
      <c r="I259" s="4" t="s">
        <v>8</v>
      </c>
      <c r="J259" s="3" t="s">
        <v>8</v>
      </c>
      <c r="K259" s="26">
        <v>45901</v>
      </c>
      <c r="L259" s="26">
        <v>45992</v>
      </c>
      <c r="M259" s="26">
        <v>45931</v>
      </c>
      <c r="N259" s="30">
        <v>45992</v>
      </c>
      <c r="O259" s="30">
        <v>45992</v>
      </c>
      <c r="P259" s="30">
        <v>45992</v>
      </c>
      <c r="Q259" s="30"/>
      <c r="R259" s="30"/>
      <c r="S259" s="30"/>
    </row>
    <row r="260" spans="2:19" ht="15.6" x14ac:dyDescent="0.3">
      <c r="B260" s="263">
        <v>29</v>
      </c>
      <c r="C260" s="264"/>
      <c r="D260" s="265" t="s">
        <v>2</v>
      </c>
      <c r="E260" s="265"/>
      <c r="F260" s="265"/>
      <c r="G260" s="265"/>
      <c r="H260" s="6"/>
      <c r="I260" s="268"/>
      <c r="J260" s="270"/>
      <c r="K260" s="29"/>
      <c r="L260" s="10"/>
      <c r="M260" s="10"/>
      <c r="N260" s="10"/>
      <c r="O260" s="10"/>
      <c r="P260" s="10"/>
      <c r="Q260" s="10"/>
      <c r="R260" s="10"/>
      <c r="S260" s="10"/>
    </row>
    <row r="261" spans="2:19" ht="15.6" x14ac:dyDescent="0.3">
      <c r="B261" s="263"/>
      <c r="C261" s="264"/>
      <c r="D261" s="23" t="s">
        <v>3</v>
      </c>
      <c r="E261" s="23" t="s">
        <v>4</v>
      </c>
      <c r="F261" s="24" t="s">
        <v>5</v>
      </c>
      <c r="G261" s="23" t="s">
        <v>6</v>
      </c>
      <c r="H261" s="27"/>
      <c r="I261" s="269"/>
      <c r="J261" s="271"/>
      <c r="K261" s="33"/>
      <c r="L261" s="27"/>
      <c r="M261" s="27"/>
      <c r="N261" s="27"/>
      <c r="O261" s="27"/>
      <c r="P261" s="27"/>
      <c r="Q261" s="27"/>
      <c r="R261" s="27"/>
      <c r="S261" s="27"/>
    </row>
    <row r="262" spans="2:19" ht="15.6" x14ac:dyDescent="0.3">
      <c r="B262" s="263"/>
      <c r="C262" s="264"/>
      <c r="D262" s="5"/>
      <c r="E262" s="5"/>
      <c r="F262" s="21"/>
      <c r="G262" s="5"/>
      <c r="H262" s="4"/>
      <c r="I262" s="269"/>
      <c r="J262" s="271"/>
      <c r="K262" s="29"/>
      <c r="L262" s="10"/>
      <c r="M262" s="10"/>
      <c r="N262" s="10"/>
      <c r="O262" s="10"/>
      <c r="P262" s="10"/>
      <c r="Q262" s="10"/>
      <c r="R262" s="10"/>
      <c r="S262" s="10"/>
    </row>
    <row r="263" spans="2:19" ht="15.6" x14ac:dyDescent="0.3">
      <c r="B263" s="263"/>
      <c r="C263" s="264"/>
      <c r="D263" s="265" t="s">
        <v>10</v>
      </c>
      <c r="E263" s="265"/>
      <c r="F263" s="265"/>
      <c r="G263" s="265"/>
      <c r="H263" s="4"/>
      <c r="I263" s="269"/>
      <c r="J263" s="271"/>
      <c r="K263" s="29"/>
      <c r="L263" s="10"/>
      <c r="M263" s="10"/>
      <c r="N263" s="10"/>
      <c r="O263" s="10"/>
      <c r="P263" s="10"/>
      <c r="Q263" s="10"/>
      <c r="R263" s="10"/>
      <c r="S263" s="10"/>
    </row>
    <row r="264" spans="2:19" ht="15.6" x14ac:dyDescent="0.3">
      <c r="B264" s="263"/>
      <c r="C264" s="264"/>
      <c r="D264" s="23" t="s">
        <v>3</v>
      </c>
      <c r="E264" s="23" t="s">
        <v>4</v>
      </c>
      <c r="F264" s="24" t="s">
        <v>5</v>
      </c>
      <c r="G264" s="23" t="s">
        <v>6</v>
      </c>
      <c r="H264" s="27"/>
      <c r="I264" s="269"/>
      <c r="J264" s="271"/>
      <c r="K264" s="33"/>
      <c r="L264" s="27"/>
      <c r="M264" s="27"/>
      <c r="N264" s="27"/>
      <c r="O264" s="27"/>
      <c r="P264" s="27"/>
      <c r="Q264" s="27"/>
      <c r="R264" s="27"/>
      <c r="S264" s="27"/>
    </row>
    <row r="265" spans="2:19" ht="25.5" customHeight="1" x14ac:dyDescent="0.3">
      <c r="B265" s="263"/>
      <c r="C265" s="264"/>
      <c r="D265" s="5"/>
      <c r="E265" s="5"/>
      <c r="F265" s="21"/>
      <c r="G265" s="5"/>
      <c r="H265" s="6"/>
      <c r="I265" s="269"/>
      <c r="J265" s="271"/>
      <c r="K265" s="29"/>
      <c r="L265" s="10"/>
      <c r="M265" s="10"/>
      <c r="N265" s="10"/>
      <c r="O265" s="10"/>
      <c r="P265" s="10"/>
      <c r="Q265" s="10"/>
      <c r="R265" s="10"/>
      <c r="S265" s="10"/>
    </row>
    <row r="266" spans="2:19" ht="31.2" x14ac:dyDescent="0.3">
      <c r="B266" s="7"/>
      <c r="C266" s="15"/>
      <c r="D266" s="260" t="s">
        <v>17</v>
      </c>
      <c r="E266" s="260"/>
      <c r="F266" s="260"/>
      <c r="G266" s="260"/>
      <c r="H266" s="260" t="s">
        <v>9</v>
      </c>
      <c r="I266" s="260"/>
      <c r="J266" s="8"/>
      <c r="K266" s="261" t="s">
        <v>13</v>
      </c>
      <c r="L266" s="262"/>
      <c r="M266" s="261" t="s">
        <v>14</v>
      </c>
      <c r="N266" s="262"/>
      <c r="O266" s="8" t="s">
        <v>15</v>
      </c>
      <c r="P266" s="8" t="s">
        <v>101</v>
      </c>
      <c r="Q266" s="8" t="s">
        <v>103</v>
      </c>
      <c r="R266" s="8" t="s">
        <v>104</v>
      </c>
      <c r="S266" s="8" t="s">
        <v>131</v>
      </c>
    </row>
    <row r="267" spans="2:19" ht="15.6" x14ac:dyDescent="0.3">
      <c r="B267" s="7"/>
      <c r="C267" s="15"/>
      <c r="D267" s="260"/>
      <c r="E267" s="260"/>
      <c r="F267" s="260"/>
      <c r="G267" s="260"/>
      <c r="H267" s="4" t="s">
        <v>7</v>
      </c>
      <c r="I267" s="4" t="s">
        <v>8</v>
      </c>
      <c r="J267" s="3" t="s">
        <v>8</v>
      </c>
      <c r="K267" s="26">
        <v>45901</v>
      </c>
      <c r="L267" s="26">
        <v>45992</v>
      </c>
      <c r="M267" s="26">
        <v>45931</v>
      </c>
      <c r="N267" s="30">
        <v>45992</v>
      </c>
      <c r="O267" s="30">
        <v>45992</v>
      </c>
      <c r="P267" s="30">
        <v>45992</v>
      </c>
      <c r="Q267" s="30"/>
      <c r="R267" s="30"/>
      <c r="S267" s="30"/>
    </row>
    <row r="268" spans="2:19" ht="15.6" x14ac:dyDescent="0.3">
      <c r="B268" s="263">
        <v>31</v>
      </c>
      <c r="C268" s="264" t="s">
        <v>69</v>
      </c>
      <c r="D268" s="265" t="s">
        <v>2</v>
      </c>
      <c r="E268" s="265"/>
      <c r="F268" s="265"/>
      <c r="G268" s="265"/>
      <c r="H268" s="6"/>
      <c r="I268" s="12"/>
      <c r="J268" s="25"/>
      <c r="K268" s="29"/>
      <c r="L268" s="10"/>
      <c r="M268" s="10"/>
      <c r="N268" s="10"/>
      <c r="O268" s="10"/>
      <c r="P268" s="10"/>
      <c r="Q268" s="10"/>
      <c r="R268" s="10"/>
      <c r="S268" s="10"/>
    </row>
    <row r="269" spans="2:19" ht="15.6" x14ac:dyDescent="0.3">
      <c r="B269" s="263"/>
      <c r="C269" s="264"/>
      <c r="D269" s="23" t="s">
        <v>3</v>
      </c>
      <c r="E269" s="23" t="s">
        <v>4</v>
      </c>
      <c r="F269" s="24" t="s">
        <v>5</v>
      </c>
      <c r="G269" s="23" t="s">
        <v>6</v>
      </c>
      <c r="H269" s="27"/>
      <c r="I269" s="268">
        <v>1000</v>
      </c>
      <c r="J269" s="270">
        <v>1500</v>
      </c>
      <c r="K269" s="33"/>
      <c r="L269" s="27"/>
      <c r="M269" s="27"/>
      <c r="N269" s="27"/>
      <c r="O269" s="27"/>
      <c r="P269" s="27"/>
      <c r="Q269" s="27"/>
      <c r="R269" s="27"/>
      <c r="S269" s="27"/>
    </row>
    <row r="270" spans="2:19" x14ac:dyDescent="0.3">
      <c r="B270" s="263"/>
      <c r="C270" s="264"/>
      <c r="D270" s="5" t="s">
        <v>124</v>
      </c>
      <c r="E270" s="5" t="s">
        <v>38</v>
      </c>
      <c r="F270" s="21">
        <v>400</v>
      </c>
      <c r="G270" s="5"/>
      <c r="H270" s="6">
        <v>2</v>
      </c>
      <c r="I270" s="269"/>
      <c r="J270" s="271"/>
      <c r="K270" s="29"/>
      <c r="L270" s="10"/>
      <c r="M270" s="10"/>
      <c r="N270" s="10"/>
      <c r="O270" s="10"/>
      <c r="P270" s="10"/>
      <c r="Q270" s="10"/>
      <c r="R270" s="10"/>
      <c r="S270" s="10"/>
    </row>
    <row r="271" spans="2:19" ht="15.6" x14ac:dyDescent="0.3">
      <c r="B271" s="263"/>
      <c r="C271" s="264"/>
      <c r="D271" s="265" t="s">
        <v>10</v>
      </c>
      <c r="E271" s="265"/>
      <c r="F271" s="265"/>
      <c r="G271" s="265"/>
      <c r="H271" s="4"/>
      <c r="I271" s="269"/>
      <c r="J271" s="271"/>
      <c r="K271" s="29"/>
      <c r="L271" s="10"/>
      <c r="M271" s="10"/>
      <c r="N271" s="10"/>
      <c r="O271" s="10"/>
      <c r="P271" s="10"/>
      <c r="Q271" s="10"/>
      <c r="R271" s="10"/>
      <c r="S271" s="10"/>
    </row>
    <row r="272" spans="2:19" ht="15.6" x14ac:dyDescent="0.3">
      <c r="B272" s="263"/>
      <c r="C272" s="264"/>
      <c r="D272" s="23" t="s">
        <v>3</v>
      </c>
      <c r="E272" s="23" t="s">
        <v>4</v>
      </c>
      <c r="F272" s="24" t="s">
        <v>5</v>
      </c>
      <c r="G272" s="23" t="s">
        <v>6</v>
      </c>
      <c r="H272" s="27"/>
      <c r="I272" s="269"/>
      <c r="J272" s="271"/>
      <c r="K272" s="33"/>
      <c r="L272" s="27"/>
      <c r="M272" s="27"/>
      <c r="N272" s="27"/>
      <c r="O272" s="27"/>
      <c r="P272" s="27"/>
      <c r="Q272" s="27"/>
      <c r="R272" s="27"/>
      <c r="S272" s="27"/>
    </row>
    <row r="273" spans="2:20" x14ac:dyDescent="0.3">
      <c r="B273" s="263"/>
      <c r="C273" s="264"/>
      <c r="D273" s="5"/>
      <c r="E273" s="5"/>
      <c r="F273" s="21"/>
      <c r="G273" s="5"/>
      <c r="H273" s="6"/>
      <c r="I273" s="269"/>
      <c r="J273" s="271"/>
      <c r="K273" s="29"/>
      <c r="L273" s="10"/>
      <c r="M273" s="10"/>
      <c r="N273" s="10"/>
      <c r="O273" s="10"/>
      <c r="P273" s="10"/>
      <c r="Q273" s="10"/>
      <c r="R273" s="10"/>
      <c r="S273" s="10"/>
    </row>
    <row r="274" spans="2:20" ht="31.2" x14ac:dyDescent="0.3">
      <c r="B274" s="7"/>
      <c r="C274" s="15"/>
      <c r="D274" s="260" t="s">
        <v>17</v>
      </c>
      <c r="E274" s="260"/>
      <c r="F274" s="260"/>
      <c r="G274" s="260"/>
      <c r="H274" s="260" t="s">
        <v>9</v>
      </c>
      <c r="I274" s="260"/>
      <c r="J274" s="8"/>
      <c r="K274" s="261" t="s">
        <v>13</v>
      </c>
      <c r="L274" s="262"/>
      <c r="M274" s="261" t="s">
        <v>14</v>
      </c>
      <c r="N274" s="262"/>
      <c r="O274" s="8" t="s">
        <v>15</v>
      </c>
      <c r="P274" s="8" t="s">
        <v>101</v>
      </c>
      <c r="Q274" s="8" t="s">
        <v>103</v>
      </c>
      <c r="R274" s="8" t="s">
        <v>104</v>
      </c>
      <c r="S274" s="8" t="s">
        <v>131</v>
      </c>
    </row>
    <row r="275" spans="2:20" ht="15.6" x14ac:dyDescent="0.3">
      <c r="B275" s="7"/>
      <c r="C275" s="15"/>
      <c r="D275" s="260"/>
      <c r="E275" s="260"/>
      <c r="F275" s="260"/>
      <c r="G275" s="260"/>
      <c r="H275" s="4" t="s">
        <v>7</v>
      </c>
      <c r="I275" s="4" t="s">
        <v>8</v>
      </c>
      <c r="J275" s="3" t="s">
        <v>8</v>
      </c>
      <c r="K275" s="26">
        <v>45901</v>
      </c>
      <c r="L275" s="26">
        <v>45992</v>
      </c>
      <c r="M275" s="26">
        <v>45931</v>
      </c>
      <c r="N275" s="30">
        <v>45992</v>
      </c>
      <c r="O275" s="30">
        <v>45992</v>
      </c>
      <c r="P275" s="30">
        <v>45992</v>
      </c>
      <c r="Q275" s="30"/>
      <c r="R275" s="30"/>
      <c r="S275" s="30"/>
    </row>
    <row r="276" spans="2:20" ht="15.6" x14ac:dyDescent="0.3">
      <c r="B276" s="263">
        <v>32</v>
      </c>
      <c r="C276" s="264" t="s">
        <v>125</v>
      </c>
      <c r="D276" s="265" t="s">
        <v>2</v>
      </c>
      <c r="E276" s="265"/>
      <c r="F276" s="265"/>
      <c r="G276" s="265"/>
      <c r="H276" s="6"/>
      <c r="I276" s="12"/>
      <c r="J276" s="25"/>
      <c r="K276" s="29"/>
      <c r="L276" s="10"/>
      <c r="M276" s="10"/>
      <c r="N276" s="10"/>
      <c r="O276" s="10"/>
      <c r="P276" s="10"/>
      <c r="Q276" s="10"/>
      <c r="R276" s="10"/>
      <c r="S276" s="10"/>
    </row>
    <row r="277" spans="2:20" ht="15.6" x14ac:dyDescent="0.3">
      <c r="B277" s="263"/>
      <c r="C277" s="264"/>
      <c r="D277" s="23" t="s">
        <v>3</v>
      </c>
      <c r="E277" s="23" t="s">
        <v>4</v>
      </c>
      <c r="F277" s="24" t="s">
        <v>5</v>
      </c>
      <c r="G277" s="23" t="s">
        <v>6</v>
      </c>
      <c r="H277" s="27"/>
      <c r="I277" s="268"/>
      <c r="J277" s="270"/>
      <c r="K277" s="33"/>
      <c r="L277" s="27"/>
      <c r="M277" s="27"/>
      <c r="N277" s="27"/>
      <c r="O277" s="27"/>
      <c r="P277" s="27"/>
      <c r="Q277" s="27"/>
      <c r="R277" s="27"/>
      <c r="S277" s="27"/>
    </row>
    <row r="278" spans="2:20" ht="20.25" customHeight="1" x14ac:dyDescent="0.3">
      <c r="B278" s="263"/>
      <c r="C278" s="264"/>
      <c r="D278" s="5" t="s">
        <v>126</v>
      </c>
      <c r="E278" s="5" t="s">
        <v>88</v>
      </c>
      <c r="F278" s="21">
        <v>499</v>
      </c>
      <c r="G278" s="5"/>
      <c r="H278" s="4"/>
      <c r="I278" s="269"/>
      <c r="J278" s="271"/>
      <c r="K278" s="10">
        <v>2</v>
      </c>
      <c r="L278" s="10"/>
      <c r="M278" s="10"/>
      <c r="N278" s="10"/>
      <c r="O278" s="10"/>
      <c r="P278" s="10"/>
      <c r="Q278" s="10"/>
      <c r="R278" s="10"/>
      <c r="S278" s="10"/>
    </row>
    <row r="279" spans="2:20" ht="31.2" x14ac:dyDescent="0.3">
      <c r="B279" s="7"/>
      <c r="C279" s="15"/>
      <c r="D279" s="260" t="s">
        <v>17</v>
      </c>
      <c r="E279" s="260"/>
      <c r="F279" s="260"/>
      <c r="G279" s="260"/>
      <c r="H279" s="260" t="s">
        <v>9</v>
      </c>
      <c r="I279" s="260"/>
      <c r="J279" s="8"/>
      <c r="K279" s="261" t="s">
        <v>13</v>
      </c>
      <c r="L279" s="262"/>
      <c r="M279" s="261" t="s">
        <v>14</v>
      </c>
      <c r="N279" s="262"/>
      <c r="O279" s="8" t="s">
        <v>15</v>
      </c>
      <c r="P279" s="8" t="s">
        <v>101</v>
      </c>
      <c r="Q279" s="8" t="s">
        <v>103</v>
      </c>
      <c r="R279" s="8" t="s">
        <v>104</v>
      </c>
      <c r="S279" s="8" t="s">
        <v>131</v>
      </c>
    </row>
    <row r="280" spans="2:20" ht="15.6" x14ac:dyDescent="0.3">
      <c r="B280" s="7"/>
      <c r="C280" s="15"/>
      <c r="D280" s="260"/>
      <c r="E280" s="260"/>
      <c r="F280" s="260"/>
      <c r="G280" s="260"/>
      <c r="H280" s="4" t="s">
        <v>7</v>
      </c>
      <c r="I280" s="4" t="s">
        <v>8</v>
      </c>
      <c r="J280" s="3" t="s">
        <v>8</v>
      </c>
      <c r="K280" s="26">
        <v>45901</v>
      </c>
      <c r="L280" s="26">
        <v>45992</v>
      </c>
      <c r="M280" s="26">
        <v>45931</v>
      </c>
      <c r="N280" s="30">
        <v>45992</v>
      </c>
      <c r="O280" s="30">
        <v>45992</v>
      </c>
      <c r="P280" s="30">
        <v>45992</v>
      </c>
      <c r="Q280" s="30"/>
      <c r="R280" s="30"/>
      <c r="S280" s="30"/>
    </row>
    <row r="281" spans="2:20" ht="15.6" x14ac:dyDescent="0.3">
      <c r="B281" s="263">
        <v>33</v>
      </c>
      <c r="C281" s="264" t="s">
        <v>70</v>
      </c>
      <c r="D281" s="265" t="s">
        <v>2</v>
      </c>
      <c r="E281" s="265"/>
      <c r="F281" s="265"/>
      <c r="G281" s="265"/>
      <c r="H281" s="6"/>
      <c r="I281" s="12"/>
      <c r="J281" s="25"/>
      <c r="K281" s="29"/>
      <c r="L281" s="10"/>
      <c r="M281" s="10"/>
      <c r="N281" s="10"/>
      <c r="O281" s="10"/>
      <c r="P281" s="10"/>
      <c r="Q281" s="10"/>
      <c r="R281" s="10"/>
      <c r="S281" s="10"/>
    </row>
    <row r="282" spans="2:20" ht="15.6" x14ac:dyDescent="0.3">
      <c r="B282" s="263"/>
      <c r="C282" s="264"/>
      <c r="D282" s="23" t="s">
        <v>3</v>
      </c>
      <c r="E282" s="23" t="s">
        <v>4</v>
      </c>
      <c r="F282" s="24" t="s">
        <v>5</v>
      </c>
      <c r="G282" s="23" t="s">
        <v>6</v>
      </c>
      <c r="H282" s="27"/>
      <c r="I282" s="268">
        <v>1000</v>
      </c>
      <c r="J282" s="270">
        <v>1500</v>
      </c>
      <c r="K282" s="33"/>
      <c r="L282" s="27"/>
      <c r="M282" s="27"/>
      <c r="N282" s="27"/>
      <c r="O282" s="27"/>
      <c r="P282" s="27"/>
      <c r="Q282" s="27"/>
      <c r="R282" s="27"/>
      <c r="S282" s="27"/>
    </row>
    <row r="283" spans="2:20" x14ac:dyDescent="0.3">
      <c r="B283" s="263"/>
      <c r="C283" s="264"/>
      <c r="D283" s="5" t="s">
        <v>112</v>
      </c>
      <c r="E283" s="5"/>
      <c r="F283" s="21">
        <v>350</v>
      </c>
      <c r="G283" s="5"/>
      <c r="H283" s="6"/>
      <c r="I283" s="269"/>
      <c r="J283" s="271"/>
      <c r="K283" s="29"/>
      <c r="L283" s="10"/>
      <c r="M283" s="10"/>
      <c r="N283" s="10">
        <v>1</v>
      </c>
      <c r="O283" s="10"/>
      <c r="P283" s="10"/>
      <c r="Q283" s="10"/>
      <c r="R283" s="10"/>
      <c r="S283" s="10"/>
      <c r="T283" s="1">
        <f>SUM(K283:S283)</f>
        <v>1</v>
      </c>
    </row>
    <row r="284" spans="2:20" ht="15.6" x14ac:dyDescent="0.3">
      <c r="B284" s="263"/>
      <c r="C284" s="264"/>
      <c r="D284" s="265" t="s">
        <v>10</v>
      </c>
      <c r="E284" s="265"/>
      <c r="F284" s="265"/>
      <c r="G284" s="265"/>
      <c r="H284" s="4"/>
      <c r="I284" s="269"/>
      <c r="J284" s="271"/>
      <c r="K284" s="29"/>
      <c r="L284" s="10"/>
      <c r="M284" s="10"/>
      <c r="N284" s="10"/>
      <c r="O284" s="10"/>
      <c r="P284" s="10"/>
      <c r="Q284" s="10"/>
      <c r="R284" s="10"/>
      <c r="S284" s="10"/>
    </row>
    <row r="285" spans="2:20" ht="15.6" x14ac:dyDescent="0.3">
      <c r="B285" s="263"/>
      <c r="C285" s="264"/>
      <c r="D285" s="23" t="s">
        <v>3</v>
      </c>
      <c r="E285" s="23" t="s">
        <v>4</v>
      </c>
      <c r="F285" s="24" t="s">
        <v>5</v>
      </c>
      <c r="G285" s="23" t="s">
        <v>6</v>
      </c>
      <c r="H285" s="27"/>
      <c r="I285" s="269"/>
      <c r="J285" s="271"/>
      <c r="K285" s="33"/>
      <c r="L285" s="27"/>
      <c r="M285" s="27"/>
      <c r="N285" s="27"/>
      <c r="O285" s="27"/>
      <c r="P285" s="27"/>
      <c r="Q285" s="27"/>
      <c r="R285" s="27"/>
      <c r="S285" s="27"/>
    </row>
    <row r="286" spans="2:20" x14ac:dyDescent="0.3">
      <c r="B286" s="263"/>
      <c r="C286" s="264"/>
      <c r="D286" s="5" t="s">
        <v>113</v>
      </c>
      <c r="E286" s="5"/>
      <c r="F286" s="21">
        <v>275</v>
      </c>
      <c r="G286" s="5"/>
      <c r="H286" s="6">
        <v>2</v>
      </c>
      <c r="I286" s="269"/>
      <c r="J286" s="271"/>
      <c r="K286" s="29"/>
      <c r="L286" s="10">
        <v>2</v>
      </c>
      <c r="M286" s="10"/>
      <c r="N286" s="10">
        <v>2</v>
      </c>
      <c r="O286" s="10">
        <v>2</v>
      </c>
      <c r="P286" s="10">
        <v>1</v>
      </c>
      <c r="Q286" s="10"/>
      <c r="R286" s="10"/>
      <c r="S286" s="10">
        <v>1</v>
      </c>
      <c r="T286" s="1">
        <f>SUM(K286:S286)</f>
        <v>8</v>
      </c>
    </row>
    <row r="287" spans="2:20" ht="15.6" x14ac:dyDescent="0.3">
      <c r="B287" s="263"/>
      <c r="C287" s="264"/>
      <c r="D287" s="265" t="s">
        <v>11</v>
      </c>
      <c r="E287" s="265"/>
      <c r="F287" s="265"/>
      <c r="G287" s="265"/>
      <c r="H287" s="6"/>
      <c r="I287" s="269"/>
      <c r="J287" s="271"/>
      <c r="K287" s="29"/>
      <c r="L287" s="10"/>
      <c r="M287" s="10"/>
      <c r="N287" s="10"/>
      <c r="O287" s="10"/>
      <c r="P287" s="10"/>
      <c r="Q287" s="10"/>
      <c r="R287" s="10"/>
      <c r="S287" s="10"/>
    </row>
    <row r="288" spans="2:20" ht="15.6" x14ac:dyDescent="0.3">
      <c r="B288" s="263"/>
      <c r="C288" s="264"/>
      <c r="D288" s="23" t="s">
        <v>3</v>
      </c>
      <c r="E288" s="23" t="s">
        <v>4</v>
      </c>
      <c r="F288" s="24" t="s">
        <v>5</v>
      </c>
      <c r="G288" s="23" t="s">
        <v>6</v>
      </c>
      <c r="H288" s="23"/>
      <c r="I288" s="269"/>
      <c r="J288" s="271"/>
      <c r="K288" s="33"/>
      <c r="L288" s="27"/>
      <c r="M288" s="27"/>
      <c r="N288" s="27"/>
      <c r="O288" s="27"/>
      <c r="P288" s="27"/>
      <c r="Q288" s="27"/>
      <c r="R288" s="27"/>
      <c r="S288" s="27"/>
    </row>
    <row r="289" spans="2:20" ht="15.6" x14ac:dyDescent="0.3">
      <c r="B289" s="263"/>
      <c r="C289" s="264"/>
      <c r="D289" s="5" t="s">
        <v>114</v>
      </c>
      <c r="E289" s="2"/>
      <c r="F289" s="21">
        <v>395</v>
      </c>
      <c r="G289" s="2"/>
      <c r="H289" s="6"/>
      <c r="I289" s="269"/>
      <c r="J289" s="271"/>
      <c r="K289" s="29"/>
      <c r="L289" s="10"/>
      <c r="M289" s="10"/>
      <c r="N289" s="10"/>
      <c r="O289" s="10"/>
      <c r="P289" s="10"/>
      <c r="Q289" s="10"/>
      <c r="R289" s="10"/>
      <c r="S289" s="10"/>
    </row>
    <row r="290" spans="2:20" ht="15.6" x14ac:dyDescent="0.3">
      <c r="B290" s="263"/>
      <c r="C290" s="264"/>
      <c r="D290" s="265" t="s">
        <v>12</v>
      </c>
      <c r="E290" s="265"/>
      <c r="F290" s="265"/>
      <c r="G290" s="265"/>
      <c r="H290" s="6"/>
      <c r="I290" s="269"/>
      <c r="J290" s="271"/>
      <c r="K290" s="29"/>
      <c r="L290" s="10"/>
      <c r="M290" s="10"/>
      <c r="N290" s="10"/>
      <c r="O290" s="10"/>
      <c r="P290" s="10"/>
      <c r="Q290" s="10"/>
      <c r="R290" s="10"/>
      <c r="S290" s="10"/>
    </row>
    <row r="291" spans="2:20" ht="15.6" x14ac:dyDescent="0.3">
      <c r="B291" s="263"/>
      <c r="C291" s="264"/>
      <c r="D291" s="23" t="s">
        <v>3</v>
      </c>
      <c r="E291" s="23" t="s">
        <v>4</v>
      </c>
      <c r="F291" s="24" t="s">
        <v>5</v>
      </c>
      <c r="G291" s="23" t="s">
        <v>6</v>
      </c>
      <c r="H291" s="27"/>
      <c r="I291" s="269"/>
      <c r="J291" s="271"/>
      <c r="K291" s="33"/>
      <c r="L291" s="27"/>
      <c r="M291" s="27"/>
      <c r="N291" s="27"/>
      <c r="O291" s="27"/>
      <c r="P291" s="27"/>
      <c r="Q291" s="27"/>
      <c r="R291" s="27"/>
      <c r="S291" s="27"/>
    </row>
    <row r="292" spans="2:20" ht="15.6" x14ac:dyDescent="0.3">
      <c r="B292" s="263"/>
      <c r="C292" s="264"/>
      <c r="D292" s="5" t="s">
        <v>130</v>
      </c>
      <c r="E292" s="2"/>
      <c r="F292" s="21">
        <v>200</v>
      </c>
      <c r="G292" s="2"/>
      <c r="H292" s="6">
        <v>8</v>
      </c>
      <c r="I292" s="273"/>
      <c r="J292" s="272"/>
      <c r="K292" s="29"/>
      <c r="L292" s="10">
        <v>2</v>
      </c>
      <c r="M292" s="10"/>
      <c r="N292" s="10">
        <v>2</v>
      </c>
      <c r="O292" s="10">
        <v>2</v>
      </c>
      <c r="P292" s="10"/>
      <c r="Q292" s="10"/>
      <c r="R292" s="10"/>
      <c r="S292" s="10"/>
      <c r="T292" s="1">
        <f>SUM(L292:S292)</f>
        <v>6</v>
      </c>
    </row>
    <row r="293" spans="2:20" ht="31.2" x14ac:dyDescent="0.3">
      <c r="B293" s="7"/>
      <c r="C293" s="15"/>
      <c r="D293" s="260" t="s">
        <v>17</v>
      </c>
      <c r="E293" s="260"/>
      <c r="F293" s="260"/>
      <c r="G293" s="260"/>
      <c r="H293" s="260" t="s">
        <v>9</v>
      </c>
      <c r="I293" s="260"/>
      <c r="J293" s="8"/>
      <c r="K293" s="261" t="s">
        <v>13</v>
      </c>
      <c r="L293" s="262"/>
      <c r="M293" s="261" t="s">
        <v>14</v>
      </c>
      <c r="N293" s="262"/>
      <c r="O293" s="8" t="s">
        <v>15</v>
      </c>
      <c r="P293" s="8" t="s">
        <v>101</v>
      </c>
      <c r="Q293" s="8" t="s">
        <v>103</v>
      </c>
      <c r="R293" s="8" t="s">
        <v>104</v>
      </c>
      <c r="S293" s="8" t="s">
        <v>131</v>
      </c>
    </row>
    <row r="294" spans="2:20" ht="15.6" x14ac:dyDescent="0.3">
      <c r="B294" s="7"/>
      <c r="C294" s="15"/>
      <c r="D294" s="260"/>
      <c r="E294" s="260"/>
      <c r="F294" s="260"/>
      <c r="G294" s="260"/>
      <c r="H294" s="4" t="s">
        <v>7</v>
      </c>
      <c r="I294" s="4" t="s">
        <v>8</v>
      </c>
      <c r="J294" s="3" t="s">
        <v>8</v>
      </c>
      <c r="K294" s="26">
        <v>45901</v>
      </c>
      <c r="L294" s="26">
        <v>45992</v>
      </c>
      <c r="M294" s="26">
        <v>45931</v>
      </c>
      <c r="N294" s="30">
        <v>45992</v>
      </c>
      <c r="O294" s="30">
        <v>45992</v>
      </c>
      <c r="P294" s="30">
        <v>45992</v>
      </c>
      <c r="Q294" s="30"/>
      <c r="R294" s="30"/>
      <c r="S294" s="30"/>
    </row>
    <row r="295" spans="2:20" ht="15.6" x14ac:dyDescent="0.3">
      <c r="B295" s="274">
        <v>34</v>
      </c>
      <c r="C295" s="275"/>
      <c r="D295" s="276" t="s">
        <v>2</v>
      </c>
      <c r="E295" s="276"/>
      <c r="F295" s="276"/>
      <c r="G295" s="276"/>
      <c r="H295" s="17"/>
      <c r="I295" s="273"/>
      <c r="J295" s="272"/>
      <c r="K295" s="18"/>
      <c r="L295" s="18"/>
      <c r="M295" s="18"/>
      <c r="N295" s="19"/>
      <c r="O295" s="19"/>
      <c r="P295" s="10"/>
      <c r="Q295" s="10"/>
      <c r="R295" s="10"/>
      <c r="S295" s="10"/>
    </row>
    <row r="296" spans="2:20" ht="15.6" x14ac:dyDescent="0.3">
      <c r="B296" s="263"/>
      <c r="C296" s="264"/>
      <c r="D296" s="23" t="s">
        <v>3</v>
      </c>
      <c r="E296" s="23" t="s">
        <v>4</v>
      </c>
      <c r="F296" s="24" t="s">
        <v>5</v>
      </c>
      <c r="G296" s="23" t="s">
        <v>6</v>
      </c>
      <c r="H296" s="23"/>
      <c r="I296" s="266"/>
      <c r="J296" s="267"/>
      <c r="K296" s="31"/>
      <c r="L296" s="31"/>
      <c r="M296" s="31"/>
      <c r="N296" s="27"/>
      <c r="O296" s="27"/>
      <c r="P296" s="27"/>
      <c r="Q296" s="27"/>
      <c r="R296" s="27"/>
      <c r="S296" s="27"/>
    </row>
    <row r="297" spans="2:20" x14ac:dyDescent="0.3">
      <c r="B297" s="263"/>
      <c r="C297" s="264"/>
      <c r="D297" s="5" t="s">
        <v>118</v>
      </c>
      <c r="E297" s="5"/>
      <c r="F297" s="21"/>
      <c r="G297" s="5"/>
      <c r="H297" s="6"/>
      <c r="I297" s="266"/>
      <c r="J297" s="267"/>
      <c r="K297" s="11"/>
      <c r="L297" s="11"/>
      <c r="M297" s="11">
        <v>1</v>
      </c>
      <c r="N297" s="10"/>
      <c r="O297" s="10"/>
      <c r="P297" s="10"/>
      <c r="Q297" s="10"/>
      <c r="R297" s="10"/>
      <c r="S297" s="10"/>
    </row>
    <row r="298" spans="2:20" ht="15.6" x14ac:dyDescent="0.3">
      <c r="B298" s="263"/>
      <c r="C298" s="264"/>
      <c r="D298" s="265" t="s">
        <v>10</v>
      </c>
      <c r="E298" s="265"/>
      <c r="F298" s="265"/>
      <c r="G298" s="265"/>
      <c r="H298" s="6"/>
      <c r="I298" s="266"/>
      <c r="J298" s="267"/>
      <c r="K298" s="11"/>
      <c r="L298" s="11"/>
      <c r="M298" s="11"/>
      <c r="N298" s="10"/>
      <c r="O298" s="10"/>
      <c r="P298" s="10"/>
      <c r="Q298" s="10"/>
      <c r="R298" s="10"/>
      <c r="S298" s="10"/>
    </row>
    <row r="299" spans="2:20" ht="15.6" x14ac:dyDescent="0.3">
      <c r="B299" s="263"/>
      <c r="C299" s="264"/>
      <c r="D299" s="23" t="s">
        <v>3</v>
      </c>
      <c r="E299" s="23" t="s">
        <v>4</v>
      </c>
      <c r="F299" s="24" t="s">
        <v>5</v>
      </c>
      <c r="G299" s="23" t="s">
        <v>6</v>
      </c>
      <c r="H299" s="23"/>
      <c r="I299" s="266"/>
      <c r="J299" s="267"/>
      <c r="K299" s="31"/>
      <c r="L299" s="31"/>
      <c r="M299" s="31"/>
      <c r="N299" s="27"/>
      <c r="O299" s="27"/>
      <c r="P299" s="27"/>
      <c r="Q299" s="27"/>
      <c r="R299" s="27"/>
      <c r="S299" s="27"/>
    </row>
    <row r="300" spans="2:20" x14ac:dyDescent="0.3">
      <c r="B300" s="263"/>
      <c r="C300" s="264"/>
      <c r="D300" s="5" t="s">
        <v>119</v>
      </c>
      <c r="E300" s="5"/>
      <c r="F300" s="21"/>
      <c r="G300" s="5"/>
      <c r="H300" s="6"/>
      <c r="I300" s="266"/>
      <c r="J300" s="267"/>
      <c r="K300" s="11"/>
      <c r="L300" s="11"/>
      <c r="M300" s="11"/>
      <c r="N300" s="10"/>
      <c r="O300" s="10"/>
      <c r="P300" s="10"/>
      <c r="Q300" s="10"/>
      <c r="R300" s="10"/>
      <c r="S300" s="10"/>
    </row>
    <row r="301" spans="2:20" ht="15.6" x14ac:dyDescent="0.3">
      <c r="B301" s="263"/>
      <c r="C301" s="264"/>
      <c r="D301" s="265" t="s">
        <v>11</v>
      </c>
      <c r="E301" s="265"/>
      <c r="F301" s="265"/>
      <c r="G301" s="265"/>
      <c r="H301" s="6"/>
      <c r="I301" s="266"/>
      <c r="J301" s="267"/>
      <c r="K301" s="11"/>
      <c r="L301" s="11"/>
      <c r="M301" s="11"/>
      <c r="N301" s="10"/>
      <c r="O301" s="10"/>
      <c r="P301" s="10"/>
      <c r="Q301" s="10"/>
      <c r="R301" s="10"/>
      <c r="S301" s="10"/>
    </row>
    <row r="302" spans="2:20" ht="15.6" x14ac:dyDescent="0.3">
      <c r="B302" s="263"/>
      <c r="C302" s="264"/>
      <c r="D302" s="23" t="s">
        <v>3</v>
      </c>
      <c r="E302" s="23" t="s">
        <v>4</v>
      </c>
      <c r="F302" s="24" t="s">
        <v>5</v>
      </c>
      <c r="G302" s="23" t="s">
        <v>6</v>
      </c>
      <c r="H302" s="23"/>
      <c r="I302" s="266"/>
      <c r="J302" s="267"/>
      <c r="K302" s="31"/>
      <c r="L302" s="31"/>
      <c r="M302" s="31"/>
      <c r="N302" s="27"/>
      <c r="O302" s="27"/>
      <c r="P302" s="27"/>
      <c r="Q302" s="27"/>
      <c r="R302" s="27"/>
      <c r="S302" s="27"/>
    </row>
    <row r="303" spans="2:20" ht="15.6" x14ac:dyDescent="0.3">
      <c r="B303" s="263"/>
      <c r="C303" s="264"/>
      <c r="D303" s="2"/>
      <c r="E303" s="2"/>
      <c r="F303" s="20"/>
      <c r="G303" s="2"/>
      <c r="H303" s="4"/>
      <c r="I303" s="266"/>
      <c r="J303" s="267"/>
      <c r="K303" s="11"/>
      <c r="L303" s="11"/>
      <c r="M303" s="11"/>
      <c r="N303" s="10"/>
      <c r="O303" s="10"/>
      <c r="P303" s="10"/>
      <c r="Q303" s="10"/>
      <c r="R303" s="10"/>
      <c r="S303" s="10"/>
    </row>
    <row r="304" spans="2:20" ht="15.6" x14ac:dyDescent="0.3">
      <c r="B304" s="263"/>
      <c r="C304" s="264"/>
      <c r="D304" s="265" t="s">
        <v>12</v>
      </c>
      <c r="E304" s="265"/>
      <c r="F304" s="265"/>
      <c r="G304" s="265"/>
      <c r="H304" s="6"/>
      <c r="I304" s="266"/>
      <c r="J304" s="267"/>
      <c r="K304" s="11"/>
      <c r="L304" s="11"/>
      <c r="M304" s="11"/>
      <c r="N304" s="10"/>
      <c r="O304" s="10"/>
      <c r="P304" s="10"/>
      <c r="Q304" s="10"/>
      <c r="R304" s="10"/>
      <c r="S304" s="10"/>
    </row>
    <row r="305" spans="2:19" ht="15.6" x14ac:dyDescent="0.3">
      <c r="B305" s="263"/>
      <c r="C305" s="264"/>
      <c r="D305" s="23" t="s">
        <v>3</v>
      </c>
      <c r="E305" s="23" t="s">
        <v>4</v>
      </c>
      <c r="F305" s="24" t="s">
        <v>5</v>
      </c>
      <c r="G305" s="23" t="s">
        <v>6</v>
      </c>
      <c r="H305" s="23"/>
      <c r="I305" s="266"/>
      <c r="J305" s="267"/>
      <c r="K305" s="31"/>
      <c r="L305" s="31"/>
      <c r="M305" s="31"/>
      <c r="N305" s="27"/>
      <c r="O305" s="27"/>
      <c r="P305" s="27"/>
      <c r="Q305" s="27"/>
      <c r="R305" s="27"/>
      <c r="S305" s="27"/>
    </row>
    <row r="306" spans="2:19" ht="15.6" x14ac:dyDescent="0.3">
      <c r="B306" s="263"/>
      <c r="C306" s="264"/>
      <c r="D306" s="2"/>
      <c r="E306" s="2"/>
      <c r="F306" s="20"/>
      <c r="G306" s="2"/>
      <c r="H306" s="6"/>
      <c r="I306" s="266"/>
      <c r="J306" s="267"/>
      <c r="K306" s="11"/>
      <c r="L306" s="11"/>
      <c r="M306" s="11"/>
      <c r="N306" s="10"/>
      <c r="O306" s="10"/>
      <c r="P306" s="10"/>
      <c r="Q306" s="10"/>
      <c r="R306" s="10"/>
      <c r="S306" s="10"/>
    </row>
    <row r="307" spans="2:19" ht="31.2" x14ac:dyDescent="0.3">
      <c r="B307" s="7"/>
      <c r="C307" s="15"/>
      <c r="D307" s="260" t="s">
        <v>17</v>
      </c>
      <c r="E307" s="260"/>
      <c r="F307" s="260"/>
      <c r="G307" s="260"/>
      <c r="H307" s="260" t="s">
        <v>9</v>
      </c>
      <c r="I307" s="260"/>
      <c r="J307" s="8"/>
      <c r="K307" s="261" t="s">
        <v>13</v>
      </c>
      <c r="L307" s="262"/>
      <c r="M307" s="261" t="s">
        <v>14</v>
      </c>
      <c r="N307" s="262"/>
      <c r="O307" s="8" t="s">
        <v>15</v>
      </c>
      <c r="P307" s="8" t="s">
        <v>101</v>
      </c>
      <c r="Q307" s="8" t="s">
        <v>103</v>
      </c>
      <c r="R307" s="8" t="s">
        <v>104</v>
      </c>
      <c r="S307" s="8" t="s">
        <v>131</v>
      </c>
    </row>
    <row r="308" spans="2:19" ht="15.6" x14ac:dyDescent="0.3">
      <c r="B308" s="7"/>
      <c r="C308" s="15"/>
      <c r="D308" s="260"/>
      <c r="E308" s="260"/>
      <c r="F308" s="260"/>
      <c r="G308" s="260"/>
      <c r="H308" s="4" t="s">
        <v>7</v>
      </c>
      <c r="I308" s="4" t="s">
        <v>8</v>
      </c>
      <c r="J308" s="3" t="s">
        <v>8</v>
      </c>
      <c r="K308" s="26">
        <v>45901</v>
      </c>
      <c r="L308" s="26">
        <v>45992</v>
      </c>
      <c r="M308" s="26">
        <v>45931</v>
      </c>
      <c r="N308" s="30">
        <v>45992</v>
      </c>
      <c r="O308" s="30">
        <v>45992</v>
      </c>
      <c r="P308" s="30">
        <v>45992</v>
      </c>
      <c r="Q308" s="30"/>
      <c r="R308" s="30"/>
      <c r="S308" s="30"/>
    </row>
    <row r="309" spans="2:19" ht="15.6" x14ac:dyDescent="0.3">
      <c r="B309" s="263">
        <v>35</v>
      </c>
      <c r="C309" s="264" t="s">
        <v>80</v>
      </c>
      <c r="D309" s="265" t="s">
        <v>2</v>
      </c>
      <c r="E309" s="265"/>
      <c r="F309" s="265"/>
      <c r="G309" s="265"/>
      <c r="H309" s="6"/>
      <c r="I309" s="12"/>
      <c r="J309" s="25"/>
      <c r="K309" s="28"/>
      <c r="L309" s="11"/>
      <c r="M309" s="11"/>
      <c r="N309" s="10"/>
      <c r="O309" s="10"/>
      <c r="P309" s="10"/>
      <c r="Q309" s="10"/>
      <c r="R309" s="10"/>
      <c r="S309" s="10"/>
    </row>
    <row r="310" spans="2:19" ht="15.6" x14ac:dyDescent="0.3">
      <c r="B310" s="263"/>
      <c r="C310" s="264"/>
      <c r="D310" s="23" t="s">
        <v>3</v>
      </c>
      <c r="E310" s="23" t="s">
        <v>4</v>
      </c>
      <c r="F310" s="24" t="s">
        <v>5</v>
      </c>
      <c r="G310" s="23" t="s">
        <v>6</v>
      </c>
      <c r="H310" s="27"/>
      <c r="I310" s="268"/>
      <c r="J310" s="270">
        <v>1500</v>
      </c>
      <c r="K310" s="32"/>
      <c r="L310" s="31"/>
      <c r="M310" s="31"/>
      <c r="N310" s="27"/>
      <c r="O310" s="27"/>
      <c r="P310" s="27"/>
      <c r="Q310" s="27"/>
      <c r="R310" s="27"/>
      <c r="S310" s="27"/>
    </row>
    <row r="311" spans="2:19" ht="15.6" x14ac:dyDescent="0.3">
      <c r="B311" s="263"/>
      <c r="C311" s="264"/>
      <c r="D311" s="5" t="s">
        <v>81</v>
      </c>
      <c r="E311" s="5"/>
      <c r="F311" s="21">
        <v>220</v>
      </c>
      <c r="G311" s="5"/>
      <c r="H311" s="4"/>
      <c r="I311" s="269"/>
      <c r="J311" s="271"/>
      <c r="K311" s="11">
        <v>2</v>
      </c>
      <c r="L311" s="11"/>
      <c r="M311" s="11"/>
      <c r="N311" s="10"/>
      <c r="O311" s="10"/>
      <c r="P311" s="10"/>
      <c r="Q311" s="10"/>
      <c r="R311" s="10"/>
      <c r="S311" s="10"/>
    </row>
    <row r="312" spans="2:19" ht="15.6" x14ac:dyDescent="0.3">
      <c r="B312" s="263"/>
      <c r="C312" s="264"/>
      <c r="D312" s="265" t="s">
        <v>10</v>
      </c>
      <c r="E312" s="265"/>
      <c r="F312" s="265"/>
      <c r="G312" s="265"/>
      <c r="H312" s="4"/>
      <c r="I312" s="269"/>
      <c r="J312" s="271"/>
      <c r="K312" s="11"/>
      <c r="L312" s="11"/>
      <c r="M312" s="11"/>
      <c r="N312" s="10"/>
      <c r="O312" s="10"/>
      <c r="P312" s="10"/>
      <c r="Q312" s="10"/>
      <c r="R312" s="10"/>
      <c r="S312" s="10"/>
    </row>
    <row r="313" spans="2:19" ht="15.6" x14ac:dyDescent="0.3">
      <c r="B313" s="263"/>
      <c r="C313" s="264"/>
      <c r="D313" s="23" t="s">
        <v>3</v>
      </c>
      <c r="E313" s="23" t="s">
        <v>4</v>
      </c>
      <c r="F313" s="24" t="s">
        <v>5</v>
      </c>
      <c r="G313" s="23" t="s">
        <v>6</v>
      </c>
      <c r="H313" s="27"/>
      <c r="I313" s="269"/>
      <c r="J313" s="271"/>
      <c r="K313" s="31"/>
      <c r="L313" s="31"/>
      <c r="M313" s="31"/>
      <c r="N313" s="27"/>
      <c r="O313" s="27"/>
      <c r="P313" s="27"/>
      <c r="Q313" s="27"/>
      <c r="R313" s="27"/>
      <c r="S313" s="27"/>
    </row>
    <row r="314" spans="2:19" x14ac:dyDescent="0.3">
      <c r="B314" s="263"/>
      <c r="C314" s="264"/>
      <c r="D314" s="5" t="s">
        <v>82</v>
      </c>
      <c r="E314" s="5"/>
      <c r="F314" s="21">
        <v>100</v>
      </c>
      <c r="G314" s="5"/>
      <c r="H314" s="6"/>
      <c r="I314" s="269"/>
      <c r="J314" s="271"/>
      <c r="K314" s="11"/>
      <c r="L314" s="11"/>
      <c r="M314" s="11"/>
      <c r="N314" s="10"/>
      <c r="O314" s="10"/>
      <c r="P314" s="10"/>
      <c r="Q314" s="10"/>
      <c r="R314" s="10"/>
      <c r="S314" s="10"/>
    </row>
    <row r="315" spans="2:19" ht="31.2" x14ac:dyDescent="0.3">
      <c r="B315" s="7"/>
      <c r="C315" s="15"/>
      <c r="D315" s="260" t="s">
        <v>17</v>
      </c>
      <c r="E315" s="260"/>
      <c r="F315" s="260"/>
      <c r="G315" s="260"/>
      <c r="H315" s="261" t="s">
        <v>9</v>
      </c>
      <c r="I315" s="262"/>
      <c r="J315" s="8"/>
      <c r="K315" s="261" t="s">
        <v>13</v>
      </c>
      <c r="L315" s="262"/>
      <c r="M315" s="261" t="s">
        <v>14</v>
      </c>
      <c r="N315" s="262"/>
      <c r="O315" s="8" t="s">
        <v>15</v>
      </c>
      <c r="P315" s="8" t="s">
        <v>101</v>
      </c>
      <c r="Q315" s="8" t="s">
        <v>103</v>
      </c>
      <c r="R315" s="8" t="s">
        <v>104</v>
      </c>
      <c r="S315" s="8" t="s">
        <v>131</v>
      </c>
    </row>
    <row r="316" spans="2:19" ht="15.6" x14ac:dyDescent="0.3">
      <c r="B316" s="7"/>
      <c r="C316" s="15"/>
      <c r="D316" s="260"/>
      <c r="E316" s="260"/>
      <c r="F316" s="260"/>
      <c r="G316" s="260"/>
      <c r="H316" s="4" t="s">
        <v>7</v>
      </c>
      <c r="I316" s="4" t="s">
        <v>8</v>
      </c>
      <c r="J316" s="3" t="s">
        <v>8</v>
      </c>
      <c r="K316" s="26">
        <v>45901</v>
      </c>
      <c r="L316" s="26">
        <v>45992</v>
      </c>
      <c r="M316" s="26">
        <v>45931</v>
      </c>
      <c r="N316" s="30">
        <v>45992</v>
      </c>
      <c r="O316" s="30">
        <v>45992</v>
      </c>
      <c r="P316" s="30">
        <v>45992</v>
      </c>
      <c r="Q316" s="30"/>
      <c r="R316" s="30"/>
      <c r="S316" s="30"/>
    </row>
    <row r="317" spans="2:19" ht="15.6" x14ac:dyDescent="0.3">
      <c r="B317" s="263">
        <v>37</v>
      </c>
      <c r="C317" s="264" t="s">
        <v>115</v>
      </c>
      <c r="D317" s="265" t="s">
        <v>2</v>
      </c>
      <c r="E317" s="265"/>
      <c r="F317" s="265"/>
      <c r="G317" s="265"/>
      <c r="H317" s="6"/>
      <c r="I317" s="12"/>
      <c r="J317" s="25"/>
      <c r="K317" s="28"/>
      <c r="L317" s="11"/>
      <c r="M317" s="11"/>
      <c r="N317" s="10"/>
      <c r="O317" s="10"/>
      <c r="P317" s="10"/>
      <c r="Q317" s="10"/>
      <c r="R317" s="10"/>
      <c r="S317" s="10"/>
    </row>
    <row r="318" spans="2:19" ht="15.6" x14ac:dyDescent="0.3">
      <c r="B318" s="263"/>
      <c r="C318" s="264"/>
      <c r="D318" s="23" t="s">
        <v>3</v>
      </c>
      <c r="E318" s="23" t="s">
        <v>4</v>
      </c>
      <c r="F318" s="24" t="s">
        <v>5</v>
      </c>
      <c r="G318" s="23" t="s">
        <v>6</v>
      </c>
      <c r="H318" s="27"/>
      <c r="I318" s="268">
        <v>1000</v>
      </c>
      <c r="J318" s="270">
        <v>1500</v>
      </c>
      <c r="K318" s="32"/>
      <c r="L318" s="31"/>
      <c r="M318" s="31"/>
      <c r="N318" s="27"/>
      <c r="O318" s="27"/>
      <c r="P318" s="27"/>
      <c r="Q318" s="27"/>
      <c r="R318" s="27"/>
      <c r="S318" s="27"/>
    </row>
    <row r="319" spans="2:19" x14ac:dyDescent="0.3">
      <c r="B319" s="263"/>
      <c r="C319" s="264"/>
      <c r="D319" s="5" t="s">
        <v>116</v>
      </c>
      <c r="E319" s="5" t="s">
        <v>38</v>
      </c>
      <c r="F319" s="21">
        <v>725</v>
      </c>
      <c r="G319" s="5"/>
      <c r="H319" s="6">
        <v>10</v>
      </c>
      <c r="I319" s="269"/>
      <c r="J319" s="271"/>
      <c r="K319" s="28"/>
      <c r="L319" s="11">
        <v>5</v>
      </c>
      <c r="M319" s="11"/>
      <c r="N319" s="10">
        <v>7</v>
      </c>
      <c r="O319" s="10">
        <v>4</v>
      </c>
      <c r="P319" s="10"/>
      <c r="Q319" s="10">
        <v>7</v>
      </c>
      <c r="R319" s="10"/>
      <c r="S319" s="10">
        <v>1</v>
      </c>
    </row>
    <row r="320" spans="2:19" ht="15.6" x14ac:dyDescent="0.3">
      <c r="B320" s="263"/>
      <c r="C320" s="264"/>
      <c r="D320" s="265" t="s">
        <v>10</v>
      </c>
      <c r="E320" s="265"/>
      <c r="F320" s="265"/>
      <c r="G320" s="265"/>
      <c r="H320" s="4"/>
      <c r="I320" s="269"/>
      <c r="J320" s="271"/>
      <c r="K320" s="28"/>
      <c r="L320" s="11"/>
      <c r="M320" s="11"/>
      <c r="N320" s="10"/>
      <c r="O320" s="10"/>
      <c r="P320" s="10"/>
      <c r="Q320" s="10"/>
      <c r="R320" s="10"/>
      <c r="S320" s="10"/>
    </row>
    <row r="321" spans="2:19" ht="15.6" x14ac:dyDescent="0.3">
      <c r="B321" s="263"/>
      <c r="C321" s="264"/>
      <c r="D321" s="23" t="s">
        <v>3</v>
      </c>
      <c r="E321" s="23" t="s">
        <v>4</v>
      </c>
      <c r="F321" s="24" t="s">
        <v>5</v>
      </c>
      <c r="G321" s="23" t="s">
        <v>6</v>
      </c>
      <c r="H321" s="27"/>
      <c r="I321" s="269"/>
      <c r="J321" s="271"/>
      <c r="K321" s="32"/>
      <c r="L321" s="31"/>
      <c r="M321" s="31"/>
      <c r="N321" s="27"/>
      <c r="O321" s="27"/>
      <c r="P321" s="27"/>
      <c r="Q321" s="27"/>
      <c r="R321" s="27"/>
      <c r="S321" s="27"/>
    </row>
    <row r="322" spans="2:19" x14ac:dyDescent="0.3">
      <c r="B322" s="263"/>
      <c r="C322" s="264"/>
      <c r="D322" s="5" t="s">
        <v>117</v>
      </c>
      <c r="E322" s="5" t="s">
        <v>38</v>
      </c>
      <c r="F322" s="21"/>
      <c r="G322" s="5"/>
      <c r="H322" s="6"/>
      <c r="I322" s="269"/>
      <c r="J322" s="271"/>
      <c r="K322" s="28"/>
      <c r="L322" s="11"/>
      <c r="M322" s="11"/>
      <c r="N322" s="10"/>
      <c r="O322" s="10"/>
      <c r="P322" s="10"/>
      <c r="Q322" s="10"/>
      <c r="R322" s="10"/>
      <c r="S322" s="10"/>
    </row>
    <row r="323" spans="2:19" ht="15.6" x14ac:dyDescent="0.3">
      <c r="B323" s="263"/>
      <c r="C323" s="264"/>
      <c r="D323" s="265" t="s">
        <v>11</v>
      </c>
      <c r="E323" s="265"/>
      <c r="F323" s="265"/>
      <c r="G323" s="265"/>
      <c r="H323" s="6"/>
      <c r="I323" s="269"/>
      <c r="J323" s="271"/>
      <c r="K323" s="28"/>
      <c r="L323" s="11"/>
      <c r="M323" s="11"/>
      <c r="N323" s="10"/>
      <c r="O323" s="10"/>
      <c r="P323" s="10"/>
      <c r="Q323" s="10"/>
      <c r="R323" s="10"/>
      <c r="S323" s="10"/>
    </row>
    <row r="324" spans="2:19" ht="31.2" x14ac:dyDescent="0.3">
      <c r="B324" s="7"/>
      <c r="C324" s="15"/>
      <c r="D324" s="260" t="s">
        <v>17</v>
      </c>
      <c r="E324" s="260"/>
      <c r="F324" s="260"/>
      <c r="G324" s="260"/>
      <c r="H324" s="260" t="s">
        <v>9</v>
      </c>
      <c r="I324" s="260"/>
      <c r="J324" s="8"/>
      <c r="K324" s="261" t="s">
        <v>13</v>
      </c>
      <c r="L324" s="262"/>
      <c r="M324" s="261" t="s">
        <v>14</v>
      </c>
      <c r="N324" s="262"/>
      <c r="O324" s="8" t="s">
        <v>15</v>
      </c>
      <c r="P324" s="8" t="s">
        <v>101</v>
      </c>
      <c r="Q324" s="8" t="s">
        <v>103</v>
      </c>
      <c r="R324" s="8" t="s">
        <v>104</v>
      </c>
      <c r="S324" s="8" t="s">
        <v>131</v>
      </c>
    </row>
    <row r="325" spans="2:19" ht="15.6" x14ac:dyDescent="0.3">
      <c r="B325" s="7"/>
      <c r="C325" s="15"/>
      <c r="D325" s="260"/>
      <c r="E325" s="260"/>
      <c r="F325" s="260"/>
      <c r="G325" s="260"/>
      <c r="H325" s="4" t="s">
        <v>7</v>
      </c>
      <c r="I325" s="4" t="s">
        <v>8</v>
      </c>
      <c r="J325" s="3" t="s">
        <v>8</v>
      </c>
      <c r="K325" s="26">
        <v>45901</v>
      </c>
      <c r="L325" s="26">
        <v>45992</v>
      </c>
      <c r="M325" s="26">
        <v>45931</v>
      </c>
      <c r="N325" s="30">
        <v>45992</v>
      </c>
      <c r="O325" s="30">
        <v>45992</v>
      </c>
      <c r="P325" s="30">
        <v>45992</v>
      </c>
      <c r="Q325" s="30"/>
      <c r="R325" s="30"/>
      <c r="S325" s="30"/>
    </row>
    <row r="326" spans="2:19" ht="15.6" x14ac:dyDescent="0.3">
      <c r="B326" s="263">
        <v>38</v>
      </c>
      <c r="C326" s="264" t="s">
        <v>92</v>
      </c>
      <c r="D326" s="265" t="s">
        <v>2</v>
      </c>
      <c r="E326" s="265"/>
      <c r="F326" s="265"/>
      <c r="G326" s="265"/>
      <c r="H326" s="6"/>
      <c r="I326" s="12"/>
      <c r="J326" s="25"/>
      <c r="K326" s="28"/>
      <c r="L326" s="11"/>
      <c r="M326" s="11"/>
      <c r="N326" s="10"/>
      <c r="O326" s="10"/>
      <c r="P326" s="10"/>
      <c r="Q326" s="10"/>
      <c r="R326" s="10"/>
      <c r="S326" s="10"/>
    </row>
    <row r="327" spans="2:19" ht="15.6" x14ac:dyDescent="0.3">
      <c r="B327" s="263"/>
      <c r="C327" s="264"/>
      <c r="D327" s="23" t="s">
        <v>3</v>
      </c>
      <c r="E327" s="23" t="s">
        <v>4</v>
      </c>
      <c r="F327" s="24" t="s">
        <v>5</v>
      </c>
      <c r="G327" s="23" t="s">
        <v>6</v>
      </c>
      <c r="H327" s="27"/>
      <c r="I327" s="268"/>
      <c r="J327" s="270"/>
      <c r="K327" s="32"/>
      <c r="L327" s="31"/>
      <c r="M327" s="31"/>
      <c r="N327" s="27"/>
      <c r="O327" s="27"/>
      <c r="P327" s="27"/>
      <c r="Q327" s="27"/>
      <c r="R327" s="27"/>
      <c r="S327" s="27"/>
    </row>
    <row r="328" spans="2:19" ht="15.6" x14ac:dyDescent="0.3">
      <c r="B328" s="263"/>
      <c r="C328" s="264"/>
      <c r="D328" s="5"/>
      <c r="E328" s="5"/>
      <c r="F328" s="21"/>
      <c r="G328" s="5"/>
      <c r="H328" s="4"/>
      <c r="I328" s="269"/>
      <c r="J328" s="271"/>
      <c r="K328" s="28"/>
      <c r="L328" s="11"/>
      <c r="M328" s="11"/>
      <c r="N328" s="10"/>
      <c r="O328" s="10"/>
      <c r="P328" s="10"/>
      <c r="Q328" s="10"/>
      <c r="R328" s="10"/>
      <c r="S328" s="10"/>
    </row>
    <row r="329" spans="2:19" ht="15.6" x14ac:dyDescent="0.3">
      <c r="B329" s="263"/>
      <c r="C329" s="264"/>
      <c r="D329" s="265" t="s">
        <v>10</v>
      </c>
      <c r="E329" s="265"/>
      <c r="F329" s="265"/>
      <c r="G329" s="265"/>
      <c r="H329" s="4"/>
      <c r="I329" s="269"/>
      <c r="J329" s="271"/>
      <c r="K329" s="28"/>
      <c r="L329" s="11"/>
      <c r="M329" s="11"/>
      <c r="N329" s="10"/>
      <c r="O329" s="10"/>
      <c r="P329" s="10"/>
      <c r="Q329" s="10"/>
      <c r="R329" s="10"/>
      <c r="S329" s="10"/>
    </row>
    <row r="330" spans="2:19" ht="15.6" x14ac:dyDescent="0.3">
      <c r="B330" s="263"/>
      <c r="C330" s="264"/>
      <c r="D330" s="23" t="s">
        <v>3</v>
      </c>
      <c r="E330" s="23" t="s">
        <v>4</v>
      </c>
      <c r="F330" s="24" t="s">
        <v>5</v>
      </c>
      <c r="G330" s="23" t="s">
        <v>6</v>
      </c>
      <c r="H330" s="27"/>
      <c r="I330" s="269"/>
      <c r="J330" s="271"/>
      <c r="K330" s="32"/>
      <c r="L330" s="31"/>
      <c r="M330" s="31"/>
      <c r="N330" s="27"/>
      <c r="O330" s="27"/>
      <c r="P330" s="27"/>
      <c r="Q330" s="27"/>
      <c r="R330" s="27"/>
      <c r="S330" s="27"/>
    </row>
    <row r="331" spans="2:19" x14ac:dyDescent="0.3">
      <c r="B331" s="263"/>
      <c r="C331" s="264"/>
      <c r="D331" s="5"/>
      <c r="E331" s="5"/>
      <c r="F331" s="21"/>
      <c r="G331" s="5"/>
      <c r="H331" s="6"/>
      <c r="I331" s="269"/>
      <c r="J331" s="271"/>
      <c r="K331" s="28"/>
      <c r="L331" s="11"/>
      <c r="M331" s="11"/>
      <c r="N331" s="10"/>
      <c r="O331" s="10"/>
      <c r="P331" s="10"/>
      <c r="Q331" s="10"/>
      <c r="R331" s="10"/>
      <c r="S331" s="10"/>
    </row>
    <row r="332" spans="2:19" ht="15.6" x14ac:dyDescent="0.3">
      <c r="B332" s="263"/>
      <c r="C332" s="264"/>
      <c r="D332" s="265" t="s">
        <v>11</v>
      </c>
      <c r="E332" s="265"/>
      <c r="F332" s="265"/>
      <c r="G332" s="265"/>
      <c r="H332" s="6"/>
      <c r="I332" s="269"/>
      <c r="J332" s="271"/>
      <c r="K332" s="28"/>
      <c r="L332" s="11"/>
      <c r="M332" s="11"/>
      <c r="N332" s="10"/>
      <c r="O332" s="10"/>
      <c r="P332" s="10"/>
      <c r="Q332" s="10"/>
      <c r="R332" s="10"/>
      <c r="S332" s="10"/>
    </row>
    <row r="333" spans="2:19" ht="15.6" x14ac:dyDescent="0.3">
      <c r="B333" s="263"/>
      <c r="C333" s="264"/>
      <c r="D333" s="23" t="s">
        <v>3</v>
      </c>
      <c r="E333" s="23" t="s">
        <v>4</v>
      </c>
      <c r="F333" s="24" t="s">
        <v>5</v>
      </c>
      <c r="G333" s="23" t="s">
        <v>6</v>
      </c>
      <c r="H333" s="23"/>
      <c r="I333" s="269"/>
      <c r="J333" s="271"/>
      <c r="K333" s="32"/>
      <c r="L333" s="31"/>
      <c r="M333" s="31"/>
      <c r="N333" s="27"/>
      <c r="O333" s="27"/>
      <c r="P333" s="27"/>
      <c r="Q333" s="27"/>
      <c r="R333" s="27"/>
      <c r="S333" s="27"/>
    </row>
    <row r="334" spans="2:19" ht="15.6" x14ac:dyDescent="0.3">
      <c r="B334" s="263"/>
      <c r="C334" s="264"/>
      <c r="D334" s="2"/>
      <c r="E334" s="2"/>
      <c r="F334" s="20"/>
      <c r="G334" s="2"/>
      <c r="H334" s="6"/>
      <c r="I334" s="269"/>
      <c r="J334" s="271"/>
      <c r="K334" s="28"/>
      <c r="L334" s="11"/>
      <c r="M334" s="11"/>
      <c r="N334" s="10"/>
      <c r="O334" s="10"/>
      <c r="P334" s="10"/>
      <c r="Q334" s="10"/>
      <c r="R334" s="10"/>
      <c r="S334" s="10"/>
    </row>
    <row r="335" spans="2:19" ht="15.6" x14ac:dyDescent="0.3">
      <c r="B335" s="263"/>
      <c r="C335" s="264"/>
      <c r="D335" s="265" t="s">
        <v>12</v>
      </c>
      <c r="E335" s="265"/>
      <c r="F335" s="265"/>
      <c r="G335" s="265"/>
      <c r="H335" s="6"/>
      <c r="I335" s="269"/>
      <c r="J335" s="271"/>
      <c r="K335" s="28"/>
      <c r="L335" s="11"/>
      <c r="M335" s="11"/>
      <c r="N335" s="10"/>
      <c r="O335" s="10"/>
      <c r="P335" s="10"/>
      <c r="Q335" s="10"/>
      <c r="R335" s="10"/>
      <c r="S335" s="10"/>
    </row>
    <row r="336" spans="2:19" ht="15.6" x14ac:dyDescent="0.3">
      <c r="B336" s="263"/>
      <c r="C336" s="264"/>
      <c r="D336" s="23" t="s">
        <v>3</v>
      </c>
      <c r="E336" s="23" t="s">
        <v>4</v>
      </c>
      <c r="F336" s="24" t="s">
        <v>5</v>
      </c>
      <c r="G336" s="23" t="s">
        <v>6</v>
      </c>
      <c r="H336" s="27"/>
      <c r="I336" s="269"/>
      <c r="J336" s="271"/>
      <c r="K336" s="32"/>
      <c r="L336" s="31"/>
      <c r="M336" s="31"/>
      <c r="N336" s="27"/>
      <c r="O336" s="27"/>
      <c r="P336" s="27"/>
      <c r="Q336" s="27"/>
      <c r="R336" s="27"/>
      <c r="S336" s="27"/>
    </row>
    <row r="337" spans="2:19" ht="15.6" x14ac:dyDescent="0.3">
      <c r="B337" s="263"/>
      <c r="C337" s="264"/>
      <c r="D337" s="2"/>
      <c r="E337" s="2"/>
      <c r="F337" s="20"/>
      <c r="G337" s="2"/>
      <c r="H337" s="4"/>
      <c r="I337" s="273"/>
      <c r="J337" s="272"/>
      <c r="K337" s="28"/>
      <c r="L337" s="11"/>
      <c r="M337" s="11"/>
      <c r="N337" s="10"/>
      <c r="O337" s="10"/>
      <c r="P337" s="10"/>
      <c r="Q337" s="10"/>
      <c r="R337" s="10"/>
      <c r="S337" s="10"/>
    </row>
    <row r="338" spans="2:19" ht="31.2" x14ac:dyDescent="0.3">
      <c r="B338" s="7"/>
      <c r="C338" s="15"/>
      <c r="D338" s="260" t="s">
        <v>17</v>
      </c>
      <c r="E338" s="260"/>
      <c r="F338" s="260"/>
      <c r="G338" s="260"/>
      <c r="H338" s="260" t="s">
        <v>9</v>
      </c>
      <c r="I338" s="260"/>
      <c r="J338" s="8"/>
      <c r="K338" s="261" t="s">
        <v>13</v>
      </c>
      <c r="L338" s="262"/>
      <c r="M338" s="261" t="s">
        <v>14</v>
      </c>
      <c r="N338" s="262"/>
      <c r="O338" s="8" t="s">
        <v>15</v>
      </c>
      <c r="P338" s="8" t="s">
        <v>101</v>
      </c>
      <c r="Q338" s="8" t="s">
        <v>103</v>
      </c>
      <c r="R338" s="8" t="s">
        <v>104</v>
      </c>
      <c r="S338" s="8" t="s">
        <v>131</v>
      </c>
    </row>
    <row r="339" spans="2:19" ht="15.6" x14ac:dyDescent="0.3">
      <c r="B339" s="7"/>
      <c r="C339" s="15"/>
      <c r="D339" s="260"/>
      <c r="E339" s="260"/>
      <c r="F339" s="260"/>
      <c r="G339" s="260"/>
      <c r="H339" s="4" t="s">
        <v>7</v>
      </c>
      <c r="I339" s="4" t="s">
        <v>8</v>
      </c>
      <c r="J339" s="3" t="s">
        <v>8</v>
      </c>
      <c r="K339" s="26">
        <v>45901</v>
      </c>
      <c r="L339" s="26">
        <v>45992</v>
      </c>
      <c r="M339" s="26">
        <v>45931</v>
      </c>
      <c r="N339" s="30">
        <v>45992</v>
      </c>
      <c r="O339" s="30">
        <v>45992</v>
      </c>
      <c r="P339" s="30">
        <v>45992</v>
      </c>
      <c r="Q339" s="30"/>
      <c r="R339" s="30"/>
      <c r="S339" s="30"/>
    </row>
    <row r="340" spans="2:19" ht="15.6" x14ac:dyDescent="0.3">
      <c r="B340" s="263">
        <v>41</v>
      </c>
      <c r="C340" s="264" t="s">
        <v>142</v>
      </c>
      <c r="D340" s="265" t="s">
        <v>2</v>
      </c>
      <c r="E340" s="265"/>
      <c r="F340" s="265"/>
      <c r="G340" s="265"/>
      <c r="H340" s="6"/>
      <c r="I340" s="12"/>
      <c r="J340" s="25"/>
      <c r="K340" s="29"/>
      <c r="L340" s="10"/>
      <c r="M340" s="10"/>
      <c r="N340" s="10"/>
      <c r="O340" s="10"/>
      <c r="P340" s="10"/>
      <c r="Q340" s="10"/>
      <c r="R340" s="10"/>
      <c r="S340" s="10"/>
    </row>
    <row r="341" spans="2:19" ht="15.6" x14ac:dyDescent="0.3">
      <c r="B341" s="263"/>
      <c r="C341" s="264"/>
      <c r="D341" s="23" t="s">
        <v>3</v>
      </c>
      <c r="E341" s="23" t="s">
        <v>4</v>
      </c>
      <c r="F341" s="24" t="s">
        <v>5</v>
      </c>
      <c r="G341" s="23" t="s">
        <v>6</v>
      </c>
      <c r="H341" s="27"/>
      <c r="I341" s="268"/>
      <c r="J341" s="270">
        <v>1500</v>
      </c>
      <c r="K341" s="33"/>
      <c r="L341" s="27"/>
      <c r="M341" s="27"/>
      <c r="N341" s="27"/>
      <c r="O341" s="27"/>
      <c r="P341" s="27"/>
      <c r="Q341" s="27"/>
      <c r="R341" s="27"/>
      <c r="S341" s="27"/>
    </row>
    <row r="342" spans="2:19" ht="15.6" x14ac:dyDescent="0.3">
      <c r="B342" s="263"/>
      <c r="C342" s="264"/>
      <c r="D342" s="5"/>
      <c r="E342" s="5"/>
      <c r="F342" s="21"/>
      <c r="G342" s="5"/>
      <c r="H342" s="4"/>
      <c r="I342" s="269"/>
      <c r="J342" s="271"/>
      <c r="K342" s="29"/>
      <c r="L342" s="10"/>
      <c r="M342" s="10"/>
      <c r="N342" s="10"/>
      <c r="O342" s="10"/>
      <c r="P342" s="10"/>
      <c r="Q342" s="10"/>
      <c r="R342" s="10"/>
      <c r="S342" s="10"/>
    </row>
    <row r="343" spans="2:19" ht="15.6" x14ac:dyDescent="0.3">
      <c r="B343" s="263"/>
      <c r="C343" s="264"/>
      <c r="D343" s="265" t="s">
        <v>10</v>
      </c>
      <c r="E343" s="265"/>
      <c r="F343" s="265"/>
      <c r="G343" s="265"/>
      <c r="H343" s="4"/>
      <c r="I343" s="269"/>
      <c r="J343" s="271"/>
      <c r="K343" s="29"/>
      <c r="L343" s="10"/>
      <c r="M343" s="10"/>
      <c r="N343" s="10"/>
      <c r="O343" s="10"/>
      <c r="P343" s="10"/>
      <c r="Q343" s="10"/>
      <c r="R343" s="10"/>
      <c r="S343" s="10"/>
    </row>
    <row r="344" spans="2:19" ht="15.6" x14ac:dyDescent="0.3">
      <c r="B344" s="263"/>
      <c r="C344" s="264"/>
      <c r="D344" s="23" t="s">
        <v>3</v>
      </c>
      <c r="E344" s="23" t="s">
        <v>4</v>
      </c>
      <c r="F344" s="24" t="s">
        <v>5</v>
      </c>
      <c r="G344" s="23" t="s">
        <v>6</v>
      </c>
      <c r="H344" s="27"/>
      <c r="I344" s="269"/>
      <c r="J344" s="271"/>
      <c r="K344" s="33"/>
      <c r="L344" s="27"/>
      <c r="M344" s="27"/>
      <c r="N344" s="27"/>
      <c r="O344" s="27"/>
      <c r="P344" s="27"/>
      <c r="Q344" s="27"/>
      <c r="R344" s="27"/>
      <c r="S344" s="27"/>
    </row>
    <row r="345" spans="2:19" ht="36.75" customHeight="1" x14ac:dyDescent="0.3">
      <c r="B345" s="263"/>
      <c r="C345" s="264"/>
      <c r="D345" s="5"/>
      <c r="E345" s="5"/>
      <c r="F345" s="21"/>
      <c r="G345" s="5"/>
      <c r="H345" s="6"/>
      <c r="I345" s="269"/>
      <c r="J345" s="271"/>
      <c r="K345" s="29"/>
      <c r="L345" s="10"/>
      <c r="M345" s="10"/>
      <c r="N345" s="10"/>
      <c r="O345" s="10"/>
      <c r="P345" s="10"/>
      <c r="Q345" s="10"/>
      <c r="R345" s="10"/>
      <c r="S345" s="10"/>
    </row>
    <row r="346" spans="2:19" ht="31.2" x14ac:dyDescent="0.3">
      <c r="B346" s="7"/>
      <c r="C346" s="15"/>
      <c r="D346" s="260" t="s">
        <v>17</v>
      </c>
      <c r="E346" s="260"/>
      <c r="F346" s="260"/>
      <c r="G346" s="260"/>
      <c r="H346" s="260" t="s">
        <v>9</v>
      </c>
      <c r="I346" s="260"/>
      <c r="J346" s="8"/>
      <c r="K346" s="261" t="s">
        <v>13</v>
      </c>
      <c r="L346" s="262"/>
      <c r="M346" s="261" t="s">
        <v>14</v>
      </c>
      <c r="N346" s="262"/>
      <c r="O346" s="8" t="s">
        <v>15</v>
      </c>
      <c r="P346" s="8" t="s">
        <v>101</v>
      </c>
      <c r="Q346" s="8" t="s">
        <v>103</v>
      </c>
      <c r="R346" s="8" t="s">
        <v>104</v>
      </c>
      <c r="S346" s="8" t="s">
        <v>131</v>
      </c>
    </row>
    <row r="347" spans="2:19" ht="15.6" x14ac:dyDescent="0.3">
      <c r="B347" s="7"/>
      <c r="C347" s="15"/>
      <c r="D347" s="260"/>
      <c r="E347" s="260"/>
      <c r="F347" s="260"/>
      <c r="G347" s="260"/>
      <c r="H347" s="4" t="s">
        <v>7</v>
      </c>
      <c r="I347" s="4" t="s">
        <v>8</v>
      </c>
      <c r="J347" s="3" t="s">
        <v>8</v>
      </c>
      <c r="K347" s="26">
        <v>45901</v>
      </c>
      <c r="L347" s="26">
        <v>45992</v>
      </c>
      <c r="M347" s="26">
        <v>45931</v>
      </c>
      <c r="N347" s="30">
        <v>45992</v>
      </c>
      <c r="O347" s="30">
        <v>45992</v>
      </c>
      <c r="P347" s="30">
        <v>45992</v>
      </c>
      <c r="Q347" s="30"/>
      <c r="R347" s="30"/>
      <c r="S347" s="30"/>
    </row>
    <row r="348" spans="2:19" ht="15.6" x14ac:dyDescent="0.3">
      <c r="B348" s="263">
        <v>42</v>
      </c>
      <c r="C348" s="264"/>
      <c r="D348" s="265" t="s">
        <v>2</v>
      </c>
      <c r="E348" s="265"/>
      <c r="F348" s="265"/>
      <c r="G348" s="265"/>
      <c r="H348" s="6"/>
      <c r="I348" s="12"/>
      <c r="J348" s="25"/>
      <c r="K348" s="29"/>
      <c r="L348" s="10"/>
      <c r="M348" s="10"/>
      <c r="N348" s="10"/>
      <c r="O348" s="10"/>
      <c r="P348" s="10"/>
      <c r="Q348" s="10"/>
      <c r="R348" s="10"/>
      <c r="S348" s="10"/>
    </row>
    <row r="349" spans="2:19" ht="15.6" x14ac:dyDescent="0.3">
      <c r="B349" s="263"/>
      <c r="C349" s="264"/>
      <c r="D349" s="23" t="s">
        <v>3</v>
      </c>
      <c r="E349" s="23" t="s">
        <v>4</v>
      </c>
      <c r="F349" s="24" t="s">
        <v>5</v>
      </c>
      <c r="G349" s="23" t="s">
        <v>6</v>
      </c>
      <c r="H349" s="27"/>
      <c r="I349" s="268"/>
      <c r="J349" s="270"/>
      <c r="K349" s="33"/>
      <c r="L349" s="27"/>
      <c r="M349" s="27"/>
      <c r="N349" s="27"/>
      <c r="O349" s="27"/>
      <c r="P349" s="27"/>
      <c r="Q349" s="27"/>
      <c r="R349" s="27"/>
      <c r="S349" s="27"/>
    </row>
    <row r="350" spans="2:19" ht="15.6" x14ac:dyDescent="0.3">
      <c r="B350" s="263"/>
      <c r="C350" s="264"/>
      <c r="D350" s="5"/>
      <c r="E350" s="5"/>
      <c r="F350" s="21"/>
      <c r="G350" s="5"/>
      <c r="H350" s="4"/>
      <c r="I350" s="269"/>
      <c r="J350" s="271"/>
      <c r="K350" s="29"/>
      <c r="L350" s="10"/>
      <c r="M350" s="10"/>
      <c r="N350" s="10"/>
      <c r="O350" s="10"/>
      <c r="P350" s="10"/>
      <c r="Q350" s="10"/>
      <c r="R350" s="10"/>
      <c r="S350" s="10"/>
    </row>
    <row r="351" spans="2:19" ht="15.6" x14ac:dyDescent="0.3">
      <c r="B351" s="263"/>
      <c r="C351" s="264"/>
      <c r="D351" s="265" t="s">
        <v>10</v>
      </c>
      <c r="E351" s="265"/>
      <c r="F351" s="265"/>
      <c r="G351" s="265"/>
      <c r="H351" s="4"/>
      <c r="I351" s="269"/>
      <c r="J351" s="271"/>
      <c r="K351" s="29"/>
      <c r="L351" s="10"/>
      <c r="M351" s="10"/>
      <c r="N351" s="10"/>
      <c r="O351" s="10"/>
      <c r="P351" s="10"/>
      <c r="Q351" s="10"/>
      <c r="R351" s="10"/>
      <c r="S351" s="10"/>
    </row>
    <row r="352" spans="2:19" ht="15.6" x14ac:dyDescent="0.3">
      <c r="B352" s="263"/>
      <c r="C352" s="264"/>
      <c r="D352" s="23" t="s">
        <v>3</v>
      </c>
      <c r="E352" s="23" t="s">
        <v>4</v>
      </c>
      <c r="F352" s="24" t="s">
        <v>5</v>
      </c>
      <c r="G352" s="23" t="s">
        <v>6</v>
      </c>
      <c r="H352" s="27"/>
      <c r="I352" s="269"/>
      <c r="J352" s="271"/>
      <c r="K352" s="33"/>
      <c r="L352" s="27"/>
      <c r="M352" s="27"/>
      <c r="N352" s="27"/>
      <c r="O352" s="27"/>
      <c r="P352" s="27"/>
      <c r="Q352" s="27"/>
      <c r="R352" s="27"/>
      <c r="S352" s="27"/>
    </row>
    <row r="353" spans="2:19" x14ac:dyDescent="0.3">
      <c r="B353" s="263"/>
      <c r="C353" s="264"/>
      <c r="D353" s="5"/>
      <c r="E353" s="5"/>
      <c r="F353" s="21"/>
      <c r="G353" s="5"/>
      <c r="H353" s="6"/>
      <c r="I353" s="269"/>
      <c r="J353" s="271"/>
      <c r="K353" s="29"/>
      <c r="L353" s="10"/>
      <c r="M353" s="10"/>
      <c r="N353" s="10"/>
      <c r="O353" s="10"/>
      <c r="P353" s="10"/>
      <c r="Q353" s="10"/>
      <c r="R353" s="10"/>
      <c r="S353" s="10"/>
    </row>
    <row r="354" spans="2:19" ht="31.2" x14ac:dyDescent="0.3">
      <c r="B354" s="7"/>
      <c r="C354" s="15"/>
      <c r="D354" s="260" t="s">
        <v>17</v>
      </c>
      <c r="E354" s="260"/>
      <c r="F354" s="260"/>
      <c r="G354" s="260"/>
      <c r="H354" s="260" t="s">
        <v>9</v>
      </c>
      <c r="I354" s="260"/>
      <c r="J354" s="8"/>
      <c r="K354" s="261" t="s">
        <v>13</v>
      </c>
      <c r="L354" s="262"/>
      <c r="M354" s="261" t="s">
        <v>14</v>
      </c>
      <c r="N354" s="262"/>
      <c r="O354" s="8" t="s">
        <v>15</v>
      </c>
      <c r="P354" s="8" t="s">
        <v>101</v>
      </c>
      <c r="Q354" s="8" t="s">
        <v>103</v>
      </c>
      <c r="R354" s="8" t="s">
        <v>104</v>
      </c>
      <c r="S354" s="8" t="s">
        <v>131</v>
      </c>
    </row>
    <row r="355" spans="2:19" ht="15.6" x14ac:dyDescent="0.3">
      <c r="B355" s="7"/>
      <c r="C355" s="15"/>
      <c r="D355" s="260"/>
      <c r="E355" s="260"/>
      <c r="F355" s="260"/>
      <c r="G355" s="260"/>
      <c r="H355" s="4" t="s">
        <v>7</v>
      </c>
      <c r="I355" s="4" t="s">
        <v>8</v>
      </c>
      <c r="J355" s="3" t="s">
        <v>8</v>
      </c>
      <c r="K355" s="26">
        <v>45901</v>
      </c>
      <c r="L355" s="26">
        <v>45992</v>
      </c>
      <c r="M355" s="26">
        <v>45931</v>
      </c>
      <c r="N355" s="30">
        <v>45992</v>
      </c>
      <c r="O355" s="30">
        <v>45992</v>
      </c>
      <c r="P355" s="30">
        <v>45992</v>
      </c>
      <c r="Q355" s="30"/>
      <c r="R355" s="30"/>
      <c r="S355" s="30"/>
    </row>
    <row r="356" spans="2:19" ht="15.6" x14ac:dyDescent="0.3">
      <c r="B356" s="263">
        <v>43</v>
      </c>
      <c r="C356" s="264"/>
      <c r="D356" s="265" t="s">
        <v>2</v>
      </c>
      <c r="E356" s="265"/>
      <c r="F356" s="265"/>
      <c r="G356" s="265"/>
      <c r="H356" s="6"/>
      <c r="I356" s="12"/>
      <c r="J356" s="25"/>
      <c r="K356" s="29"/>
      <c r="L356" s="10"/>
      <c r="M356" s="10"/>
      <c r="N356" s="10"/>
      <c r="O356" s="10"/>
      <c r="P356" s="10"/>
      <c r="Q356" s="10"/>
      <c r="R356" s="10"/>
      <c r="S356" s="10"/>
    </row>
    <row r="357" spans="2:19" ht="15.6" x14ac:dyDescent="0.3">
      <c r="B357" s="263"/>
      <c r="C357" s="264"/>
      <c r="D357" s="23" t="s">
        <v>3</v>
      </c>
      <c r="E357" s="23" t="s">
        <v>4</v>
      </c>
      <c r="F357" s="24" t="s">
        <v>5</v>
      </c>
      <c r="G357" s="23" t="s">
        <v>6</v>
      </c>
      <c r="H357" s="27"/>
      <c r="I357" s="268"/>
      <c r="J357" s="270"/>
      <c r="K357" s="33"/>
      <c r="L357" s="27"/>
      <c r="M357" s="27"/>
      <c r="N357" s="27"/>
      <c r="O357" s="27"/>
      <c r="P357" s="27"/>
      <c r="Q357" s="27"/>
      <c r="R357" s="27"/>
      <c r="S357" s="27"/>
    </row>
    <row r="358" spans="2:19" ht="15.6" x14ac:dyDescent="0.3">
      <c r="B358" s="263"/>
      <c r="C358" s="264"/>
      <c r="D358" s="5"/>
      <c r="E358" s="5"/>
      <c r="F358" s="21"/>
      <c r="G358" s="5"/>
      <c r="H358" s="4"/>
      <c r="I358" s="269"/>
      <c r="J358" s="271"/>
      <c r="K358" s="29"/>
      <c r="L358" s="10"/>
      <c r="M358" s="10"/>
      <c r="N358" s="10"/>
      <c r="O358" s="10"/>
      <c r="P358" s="10"/>
      <c r="Q358" s="10"/>
      <c r="R358" s="10"/>
      <c r="S358" s="10"/>
    </row>
    <row r="359" spans="2:19" ht="15.6" x14ac:dyDescent="0.3">
      <c r="B359" s="263"/>
      <c r="C359" s="264"/>
      <c r="D359" s="265" t="s">
        <v>10</v>
      </c>
      <c r="E359" s="265"/>
      <c r="F359" s="265"/>
      <c r="G359" s="265"/>
      <c r="H359" s="4"/>
      <c r="I359" s="269"/>
      <c r="J359" s="271"/>
      <c r="K359" s="29"/>
      <c r="L359" s="10"/>
      <c r="M359" s="10"/>
      <c r="N359" s="10"/>
      <c r="O359" s="10"/>
      <c r="P359" s="10"/>
      <c r="Q359" s="10"/>
      <c r="R359" s="10"/>
      <c r="S359" s="10"/>
    </row>
    <row r="360" spans="2:19" ht="15.6" x14ac:dyDescent="0.3">
      <c r="B360" s="263"/>
      <c r="C360" s="264"/>
      <c r="D360" s="23" t="s">
        <v>3</v>
      </c>
      <c r="E360" s="23" t="s">
        <v>4</v>
      </c>
      <c r="F360" s="24" t="s">
        <v>5</v>
      </c>
      <c r="G360" s="23" t="s">
        <v>6</v>
      </c>
      <c r="H360" s="27"/>
      <c r="I360" s="269"/>
      <c r="J360" s="271"/>
      <c r="K360" s="33"/>
      <c r="L360" s="27"/>
      <c r="M360" s="27"/>
      <c r="N360" s="27"/>
      <c r="O360" s="27"/>
      <c r="P360" s="27"/>
      <c r="Q360" s="27"/>
      <c r="R360" s="27"/>
      <c r="S360" s="27"/>
    </row>
    <row r="361" spans="2:19" x14ac:dyDescent="0.3">
      <c r="B361" s="263"/>
      <c r="C361" s="264"/>
      <c r="D361" s="5"/>
      <c r="E361" s="5"/>
      <c r="F361" s="21"/>
      <c r="G361" s="5"/>
      <c r="H361" s="6"/>
      <c r="I361" s="269"/>
      <c r="J361" s="271"/>
      <c r="K361" s="29"/>
      <c r="L361" s="10"/>
      <c r="M361" s="10"/>
      <c r="N361" s="10"/>
      <c r="O361" s="10"/>
      <c r="P361" s="10"/>
      <c r="Q361" s="10"/>
      <c r="R361" s="10"/>
      <c r="S361" s="10"/>
    </row>
    <row r="362" spans="2:19" ht="31.2" x14ac:dyDescent="0.3">
      <c r="B362" s="7"/>
      <c r="C362" s="15"/>
      <c r="D362" s="260" t="s">
        <v>17</v>
      </c>
      <c r="E362" s="260"/>
      <c r="F362" s="260"/>
      <c r="G362" s="260"/>
      <c r="H362" s="260" t="s">
        <v>9</v>
      </c>
      <c r="I362" s="260"/>
      <c r="J362" s="8"/>
      <c r="K362" s="261" t="s">
        <v>13</v>
      </c>
      <c r="L362" s="262"/>
      <c r="M362" s="261" t="s">
        <v>14</v>
      </c>
      <c r="N362" s="262"/>
      <c r="O362" s="8" t="s">
        <v>15</v>
      </c>
      <c r="P362" s="8" t="s">
        <v>101</v>
      </c>
      <c r="Q362" s="8" t="s">
        <v>103</v>
      </c>
      <c r="R362" s="8" t="s">
        <v>104</v>
      </c>
      <c r="S362" s="8" t="s">
        <v>131</v>
      </c>
    </row>
    <row r="363" spans="2:19" ht="15.6" x14ac:dyDescent="0.3">
      <c r="B363" s="7"/>
      <c r="C363" s="15"/>
      <c r="D363" s="260"/>
      <c r="E363" s="260"/>
      <c r="F363" s="260"/>
      <c r="G363" s="260"/>
      <c r="H363" s="4" t="s">
        <v>7</v>
      </c>
      <c r="I363" s="4" t="s">
        <v>8</v>
      </c>
      <c r="J363" s="3" t="s">
        <v>8</v>
      </c>
      <c r="K363" s="26">
        <v>45901</v>
      </c>
      <c r="L363" s="26">
        <v>45992</v>
      </c>
      <c r="M363" s="26">
        <v>45931</v>
      </c>
      <c r="N363" s="30">
        <v>45992</v>
      </c>
      <c r="O363" s="30">
        <v>45992</v>
      </c>
      <c r="P363" s="30">
        <v>45992</v>
      </c>
      <c r="Q363" s="30"/>
      <c r="R363" s="30"/>
      <c r="S363" s="30"/>
    </row>
    <row r="364" spans="2:19" ht="15.6" x14ac:dyDescent="0.3">
      <c r="B364" s="263">
        <v>44</v>
      </c>
      <c r="C364" s="264"/>
      <c r="D364" s="265" t="s">
        <v>2</v>
      </c>
      <c r="E364" s="265"/>
      <c r="F364" s="265"/>
      <c r="G364" s="265"/>
      <c r="H364" s="6"/>
      <c r="I364" s="12"/>
      <c r="J364" s="25"/>
      <c r="K364" s="29"/>
      <c r="L364" s="10"/>
      <c r="M364" s="10"/>
      <c r="N364" s="10"/>
      <c r="O364" s="10"/>
      <c r="P364" s="10"/>
      <c r="Q364" s="10"/>
      <c r="R364" s="10"/>
      <c r="S364" s="10"/>
    </row>
    <row r="365" spans="2:19" ht="15.6" x14ac:dyDescent="0.3">
      <c r="B365" s="263"/>
      <c r="C365" s="264"/>
      <c r="D365" s="23" t="s">
        <v>3</v>
      </c>
      <c r="E365" s="23" t="s">
        <v>4</v>
      </c>
      <c r="F365" s="24" t="s">
        <v>5</v>
      </c>
      <c r="G365" s="23" t="s">
        <v>6</v>
      </c>
      <c r="H365" s="27"/>
      <c r="I365" s="268"/>
      <c r="J365" s="270"/>
      <c r="K365" s="33"/>
      <c r="L365" s="27"/>
      <c r="M365" s="27"/>
      <c r="N365" s="27"/>
      <c r="O365" s="27"/>
      <c r="P365" s="27"/>
      <c r="Q365" s="27"/>
      <c r="R365" s="27"/>
      <c r="S365" s="27"/>
    </row>
    <row r="366" spans="2:19" ht="15.6" x14ac:dyDescent="0.3">
      <c r="B366" s="263"/>
      <c r="C366" s="264"/>
      <c r="D366" s="5"/>
      <c r="E366" s="5"/>
      <c r="F366" s="21"/>
      <c r="G366" s="5"/>
      <c r="H366" s="4"/>
      <c r="I366" s="269"/>
      <c r="J366" s="271"/>
      <c r="K366" s="29"/>
      <c r="L366" s="10"/>
      <c r="M366" s="10"/>
      <c r="N366" s="10"/>
      <c r="O366" s="10"/>
      <c r="P366" s="10"/>
      <c r="Q366" s="10"/>
      <c r="R366" s="10"/>
      <c r="S366" s="10"/>
    </row>
    <row r="367" spans="2:19" ht="15.6" x14ac:dyDescent="0.3">
      <c r="B367" s="263"/>
      <c r="C367" s="264"/>
      <c r="D367" s="265" t="s">
        <v>10</v>
      </c>
      <c r="E367" s="265"/>
      <c r="F367" s="265"/>
      <c r="G367" s="265"/>
      <c r="H367" s="4"/>
      <c r="I367" s="269"/>
      <c r="J367" s="271"/>
      <c r="K367" s="29"/>
      <c r="L367" s="10"/>
      <c r="M367" s="10"/>
      <c r="N367" s="10"/>
      <c r="O367" s="10"/>
      <c r="P367" s="10"/>
      <c r="Q367" s="10"/>
      <c r="R367" s="10"/>
      <c r="S367" s="10"/>
    </row>
    <row r="368" spans="2:19" ht="15.6" x14ac:dyDescent="0.3">
      <c r="B368" s="263"/>
      <c r="C368" s="264"/>
      <c r="D368" s="23" t="s">
        <v>3</v>
      </c>
      <c r="E368" s="23" t="s">
        <v>4</v>
      </c>
      <c r="F368" s="24" t="s">
        <v>5</v>
      </c>
      <c r="G368" s="23" t="s">
        <v>6</v>
      </c>
      <c r="H368" s="27"/>
      <c r="I368" s="269"/>
      <c r="J368" s="271"/>
      <c r="K368" s="33"/>
      <c r="L368" s="27"/>
      <c r="M368" s="27"/>
      <c r="N368" s="27"/>
      <c r="O368" s="27"/>
      <c r="P368" s="27"/>
      <c r="Q368" s="27"/>
      <c r="R368" s="27"/>
      <c r="S368" s="27"/>
    </row>
    <row r="369" spans="2:19" x14ac:dyDescent="0.3">
      <c r="B369" s="263"/>
      <c r="C369" s="264"/>
      <c r="D369" s="5"/>
      <c r="E369" s="5"/>
      <c r="F369" s="21"/>
      <c r="G369" s="5"/>
      <c r="H369" s="6"/>
      <c r="I369" s="269"/>
      <c r="J369" s="271"/>
      <c r="K369" s="29"/>
      <c r="L369" s="10"/>
      <c r="M369" s="10"/>
      <c r="N369" s="10"/>
      <c r="O369" s="10"/>
      <c r="P369" s="10"/>
      <c r="Q369" s="10"/>
      <c r="R369" s="10"/>
      <c r="S369" s="10"/>
    </row>
    <row r="370" spans="2:19" ht="31.2" x14ac:dyDescent="0.3">
      <c r="B370" s="7"/>
      <c r="C370" s="15"/>
      <c r="D370" s="260" t="s">
        <v>17</v>
      </c>
      <c r="E370" s="260"/>
      <c r="F370" s="260"/>
      <c r="G370" s="260"/>
      <c r="H370" s="260" t="s">
        <v>9</v>
      </c>
      <c r="I370" s="260"/>
      <c r="J370" s="8"/>
      <c r="K370" s="261" t="s">
        <v>13</v>
      </c>
      <c r="L370" s="262"/>
      <c r="M370" s="261" t="s">
        <v>14</v>
      </c>
      <c r="N370" s="262"/>
      <c r="O370" s="8" t="s">
        <v>15</v>
      </c>
      <c r="P370" s="8" t="s">
        <v>101</v>
      </c>
      <c r="Q370" s="8" t="s">
        <v>103</v>
      </c>
      <c r="R370" s="8" t="s">
        <v>104</v>
      </c>
      <c r="S370" s="8" t="s">
        <v>131</v>
      </c>
    </row>
    <row r="371" spans="2:19" ht="15.6" x14ac:dyDescent="0.3">
      <c r="B371" s="7"/>
      <c r="C371" s="15"/>
      <c r="D371" s="260"/>
      <c r="E371" s="260"/>
      <c r="F371" s="260"/>
      <c r="G371" s="260"/>
      <c r="H371" s="4" t="s">
        <v>7</v>
      </c>
      <c r="I371" s="4" t="s">
        <v>8</v>
      </c>
      <c r="J371" s="3" t="s">
        <v>8</v>
      </c>
      <c r="K371" s="26">
        <v>45901</v>
      </c>
      <c r="L371" s="26">
        <v>45992</v>
      </c>
      <c r="M371" s="26">
        <v>45931</v>
      </c>
      <c r="N371" s="30">
        <v>45992</v>
      </c>
      <c r="O371" s="30">
        <v>45992</v>
      </c>
      <c r="P371" s="30">
        <v>45992</v>
      </c>
      <c r="Q371" s="30"/>
      <c r="R371" s="30"/>
      <c r="S371" s="30"/>
    </row>
    <row r="372" spans="2:19" ht="15.6" x14ac:dyDescent="0.3">
      <c r="B372" s="263">
        <v>45</v>
      </c>
      <c r="C372" s="264"/>
      <c r="D372" s="265" t="s">
        <v>2</v>
      </c>
      <c r="E372" s="265"/>
      <c r="F372" s="265"/>
      <c r="G372" s="265"/>
      <c r="H372" s="6"/>
      <c r="I372" s="12"/>
      <c r="J372" s="25"/>
      <c r="K372" s="29"/>
      <c r="L372" s="10"/>
      <c r="M372" s="10"/>
      <c r="N372" s="10"/>
      <c r="O372" s="10"/>
      <c r="P372" s="10"/>
      <c r="Q372" s="10"/>
      <c r="R372" s="10"/>
      <c r="S372" s="10"/>
    </row>
    <row r="373" spans="2:19" ht="15.6" x14ac:dyDescent="0.3">
      <c r="B373" s="263"/>
      <c r="C373" s="264"/>
      <c r="D373" s="23" t="s">
        <v>3</v>
      </c>
      <c r="E373" s="23" t="s">
        <v>4</v>
      </c>
      <c r="F373" s="24" t="s">
        <v>5</v>
      </c>
      <c r="G373" s="23" t="s">
        <v>6</v>
      </c>
      <c r="H373" s="27"/>
      <c r="I373" s="268"/>
      <c r="J373" s="270"/>
      <c r="K373" s="33"/>
      <c r="L373" s="27"/>
      <c r="M373" s="27"/>
      <c r="N373" s="27"/>
      <c r="O373" s="27"/>
      <c r="P373" s="27"/>
      <c r="Q373" s="27"/>
      <c r="R373" s="27"/>
      <c r="S373" s="27"/>
    </row>
    <row r="374" spans="2:19" ht="15.6" x14ac:dyDescent="0.3">
      <c r="B374" s="263"/>
      <c r="C374" s="264"/>
      <c r="D374" s="5"/>
      <c r="E374" s="5"/>
      <c r="F374" s="21"/>
      <c r="G374" s="5"/>
      <c r="H374" s="4"/>
      <c r="I374" s="269"/>
      <c r="J374" s="271"/>
      <c r="K374" s="29"/>
      <c r="L374" s="10"/>
      <c r="M374" s="10"/>
      <c r="N374" s="10"/>
      <c r="O374" s="10"/>
      <c r="P374" s="10"/>
      <c r="Q374" s="10"/>
      <c r="R374" s="10"/>
      <c r="S374" s="10"/>
    </row>
    <row r="375" spans="2:19" ht="15.6" x14ac:dyDescent="0.3">
      <c r="B375" s="263"/>
      <c r="C375" s="264"/>
      <c r="D375" s="265" t="s">
        <v>10</v>
      </c>
      <c r="E375" s="265"/>
      <c r="F375" s="265"/>
      <c r="G375" s="265"/>
      <c r="H375" s="4"/>
      <c r="I375" s="269"/>
      <c r="J375" s="271"/>
      <c r="K375" s="29"/>
      <c r="L375" s="10"/>
      <c r="M375" s="10"/>
      <c r="N375" s="10"/>
      <c r="O375" s="10"/>
      <c r="P375" s="10"/>
      <c r="Q375" s="10"/>
      <c r="R375" s="10"/>
      <c r="S375" s="10"/>
    </row>
    <row r="376" spans="2:19" ht="15.6" x14ac:dyDescent="0.3">
      <c r="B376" s="263"/>
      <c r="C376" s="264"/>
      <c r="D376" s="23" t="s">
        <v>3</v>
      </c>
      <c r="E376" s="23" t="s">
        <v>4</v>
      </c>
      <c r="F376" s="24" t="s">
        <v>5</v>
      </c>
      <c r="G376" s="23" t="s">
        <v>6</v>
      </c>
      <c r="H376" s="27"/>
      <c r="I376" s="269"/>
      <c r="J376" s="271"/>
      <c r="K376" s="33"/>
      <c r="L376" s="27"/>
      <c r="M376" s="27"/>
      <c r="N376" s="27"/>
      <c r="O376" s="27"/>
      <c r="P376" s="27"/>
      <c r="Q376" s="27"/>
      <c r="R376" s="27"/>
      <c r="S376" s="27"/>
    </row>
    <row r="377" spans="2:19" x14ac:dyDescent="0.3">
      <c r="B377" s="263"/>
      <c r="C377" s="264"/>
      <c r="D377" s="5"/>
      <c r="E377" s="5"/>
      <c r="F377" s="21"/>
      <c r="G377" s="5"/>
      <c r="H377" s="6"/>
      <c r="I377" s="269"/>
      <c r="J377" s="271"/>
      <c r="K377" s="29"/>
      <c r="L377" s="10"/>
      <c r="M377" s="10"/>
      <c r="N377" s="10"/>
      <c r="O377" s="10"/>
      <c r="P377" s="10"/>
      <c r="Q377" s="10"/>
      <c r="R377" s="10"/>
      <c r="S377" s="10"/>
    </row>
    <row r="378" spans="2:19" ht="31.2" x14ac:dyDescent="0.3">
      <c r="B378" s="7"/>
      <c r="C378" s="15"/>
      <c r="D378" s="260" t="s">
        <v>17</v>
      </c>
      <c r="E378" s="260"/>
      <c r="F378" s="260"/>
      <c r="G378" s="260"/>
      <c r="H378" s="260" t="s">
        <v>9</v>
      </c>
      <c r="I378" s="260"/>
      <c r="J378" s="8"/>
      <c r="K378" s="261" t="s">
        <v>13</v>
      </c>
      <c r="L378" s="262"/>
      <c r="M378" s="261" t="s">
        <v>14</v>
      </c>
      <c r="N378" s="262"/>
      <c r="O378" s="8" t="s">
        <v>15</v>
      </c>
      <c r="P378" s="8" t="s">
        <v>101</v>
      </c>
      <c r="Q378" s="8" t="s">
        <v>103</v>
      </c>
      <c r="R378" s="8" t="s">
        <v>104</v>
      </c>
      <c r="S378" s="8" t="s">
        <v>131</v>
      </c>
    </row>
    <row r="379" spans="2:19" ht="15.6" x14ac:dyDescent="0.3">
      <c r="B379" s="7"/>
      <c r="C379" s="15"/>
      <c r="D379" s="260"/>
      <c r="E379" s="260"/>
      <c r="F379" s="260"/>
      <c r="G379" s="260"/>
      <c r="H379" s="4" t="s">
        <v>7</v>
      </c>
      <c r="I379" s="4" t="s">
        <v>8</v>
      </c>
      <c r="J379" s="3" t="s">
        <v>8</v>
      </c>
      <c r="K379" s="26">
        <v>45901</v>
      </c>
      <c r="L379" s="26">
        <v>45992</v>
      </c>
      <c r="M379" s="26">
        <v>45931</v>
      </c>
      <c r="N379" s="30">
        <v>45992</v>
      </c>
      <c r="O379" s="30">
        <v>45992</v>
      </c>
      <c r="P379" s="30">
        <v>45992</v>
      </c>
      <c r="Q379" s="30"/>
      <c r="R379" s="30"/>
      <c r="S379" s="30"/>
    </row>
    <row r="380" spans="2:19" ht="15.6" x14ac:dyDescent="0.3">
      <c r="B380" s="263">
        <v>46</v>
      </c>
      <c r="C380" s="264"/>
      <c r="D380" s="265" t="s">
        <v>2</v>
      </c>
      <c r="E380" s="265"/>
      <c r="F380" s="265"/>
      <c r="G380" s="265"/>
      <c r="H380" s="6"/>
      <c r="I380" s="12"/>
      <c r="J380" s="25"/>
      <c r="K380" s="29"/>
      <c r="L380" s="10"/>
      <c r="M380" s="10"/>
      <c r="N380" s="10"/>
      <c r="O380" s="10"/>
      <c r="P380" s="10"/>
      <c r="Q380" s="10"/>
      <c r="R380" s="10"/>
      <c r="S380" s="10"/>
    </row>
    <row r="381" spans="2:19" ht="15.6" x14ac:dyDescent="0.3">
      <c r="B381" s="263"/>
      <c r="C381" s="264"/>
      <c r="D381" s="23" t="s">
        <v>3</v>
      </c>
      <c r="E381" s="23" t="s">
        <v>4</v>
      </c>
      <c r="F381" s="24" t="s">
        <v>5</v>
      </c>
      <c r="G381" s="23" t="s">
        <v>6</v>
      </c>
      <c r="H381" s="27"/>
      <c r="I381" s="268"/>
      <c r="J381" s="270"/>
      <c r="K381" s="33"/>
      <c r="L381" s="27"/>
      <c r="M381" s="27"/>
      <c r="N381" s="27"/>
      <c r="O381" s="27"/>
      <c r="P381" s="27"/>
      <c r="Q381" s="27"/>
      <c r="R381" s="27"/>
      <c r="S381" s="27"/>
    </row>
    <row r="382" spans="2:19" ht="15.6" x14ac:dyDescent="0.3">
      <c r="B382" s="263"/>
      <c r="C382" s="264"/>
      <c r="D382" s="5"/>
      <c r="E382" s="5" t="s">
        <v>57</v>
      </c>
      <c r="F382" s="21"/>
      <c r="G382" s="5"/>
      <c r="H382" s="4"/>
      <c r="I382" s="269"/>
      <c r="J382" s="271"/>
      <c r="K382" s="29"/>
      <c r="L382" s="10"/>
      <c r="M382" s="10"/>
      <c r="N382" s="10"/>
      <c r="O382" s="10"/>
      <c r="P382" s="10"/>
      <c r="Q382" s="10"/>
      <c r="R382" s="10"/>
      <c r="S382" s="10"/>
    </row>
    <row r="383" spans="2:19" ht="15.6" x14ac:dyDescent="0.3">
      <c r="B383" s="263"/>
      <c r="C383" s="264"/>
      <c r="D383" s="265" t="s">
        <v>10</v>
      </c>
      <c r="E383" s="265"/>
      <c r="F383" s="265"/>
      <c r="G383" s="265"/>
      <c r="H383" s="4"/>
      <c r="I383" s="269"/>
      <c r="J383" s="271"/>
      <c r="K383" s="29"/>
      <c r="L383" s="10"/>
      <c r="M383" s="10"/>
      <c r="N383" s="10"/>
      <c r="O383" s="10"/>
      <c r="P383" s="10"/>
      <c r="Q383" s="10"/>
      <c r="R383" s="10"/>
      <c r="S383" s="10"/>
    </row>
    <row r="384" spans="2:19" ht="15.6" x14ac:dyDescent="0.3">
      <c r="B384" s="263"/>
      <c r="C384" s="264"/>
      <c r="D384" s="23" t="s">
        <v>3</v>
      </c>
      <c r="E384" s="23" t="s">
        <v>4</v>
      </c>
      <c r="F384" s="24" t="s">
        <v>5</v>
      </c>
      <c r="G384" s="23" t="s">
        <v>6</v>
      </c>
      <c r="H384" s="27"/>
      <c r="I384" s="269"/>
      <c r="J384" s="271"/>
      <c r="K384" s="33"/>
      <c r="L384" s="27"/>
      <c r="M384" s="27"/>
      <c r="N384" s="27"/>
      <c r="O384" s="27"/>
      <c r="P384" s="27"/>
      <c r="Q384" s="27"/>
      <c r="R384" s="27"/>
      <c r="S384" s="27"/>
    </row>
    <row r="385" spans="2:20" x14ac:dyDescent="0.3">
      <c r="B385" s="263"/>
      <c r="C385" s="264"/>
      <c r="D385" s="5"/>
      <c r="E385" s="5"/>
      <c r="F385" s="21"/>
      <c r="G385" s="5"/>
      <c r="H385" s="6"/>
      <c r="I385" s="269"/>
      <c r="J385" s="271"/>
      <c r="K385" s="29"/>
      <c r="L385" s="10"/>
      <c r="M385" s="10"/>
      <c r="N385" s="10"/>
      <c r="O385" s="10"/>
      <c r="P385" s="10"/>
      <c r="Q385" s="10"/>
      <c r="R385" s="10"/>
      <c r="S385" s="10"/>
    </row>
    <row r="386" spans="2:20" ht="31.2" x14ac:dyDescent="0.3">
      <c r="B386" s="7"/>
      <c r="C386" s="15"/>
      <c r="D386" s="260" t="s">
        <v>17</v>
      </c>
      <c r="E386" s="260"/>
      <c r="F386" s="260"/>
      <c r="G386" s="260"/>
      <c r="H386" s="260" t="s">
        <v>9</v>
      </c>
      <c r="I386" s="260"/>
      <c r="J386" s="8"/>
      <c r="K386" s="261" t="s">
        <v>13</v>
      </c>
      <c r="L386" s="262"/>
      <c r="M386" s="261" t="s">
        <v>14</v>
      </c>
      <c r="N386" s="262"/>
      <c r="O386" s="8" t="s">
        <v>15</v>
      </c>
      <c r="P386" s="8" t="s">
        <v>101</v>
      </c>
      <c r="Q386" s="8" t="s">
        <v>103</v>
      </c>
      <c r="R386" s="8" t="s">
        <v>104</v>
      </c>
      <c r="S386" s="8" t="s">
        <v>131</v>
      </c>
    </row>
    <row r="387" spans="2:20" ht="15.6" x14ac:dyDescent="0.3">
      <c r="B387" s="7"/>
      <c r="C387" s="15"/>
      <c r="D387" s="260"/>
      <c r="E387" s="260"/>
      <c r="F387" s="260"/>
      <c r="G387" s="260"/>
      <c r="H387" s="4" t="s">
        <v>7</v>
      </c>
      <c r="I387" s="4" t="s">
        <v>8</v>
      </c>
      <c r="J387" s="3" t="s">
        <v>8</v>
      </c>
      <c r="K387" s="26">
        <v>45901</v>
      </c>
      <c r="L387" s="26">
        <v>45992</v>
      </c>
      <c r="M387" s="26">
        <v>45931</v>
      </c>
      <c r="N387" s="30">
        <v>45992</v>
      </c>
      <c r="O387" s="30">
        <v>45992</v>
      </c>
      <c r="P387" s="30">
        <v>45992</v>
      </c>
      <c r="Q387" s="30"/>
      <c r="R387" s="30"/>
      <c r="S387" s="30"/>
    </row>
    <row r="388" spans="2:20" ht="15.6" x14ac:dyDescent="0.3">
      <c r="B388" s="263">
        <v>47</v>
      </c>
      <c r="C388" s="264" t="s">
        <v>93</v>
      </c>
      <c r="D388" s="265" t="s">
        <v>2</v>
      </c>
      <c r="E388" s="265"/>
      <c r="F388" s="265"/>
      <c r="G388" s="265"/>
      <c r="H388" s="6"/>
      <c r="I388" s="12"/>
      <c r="J388" s="25"/>
      <c r="K388" s="29"/>
      <c r="L388" s="10"/>
      <c r="M388" s="10"/>
      <c r="N388" s="10"/>
      <c r="O388" s="10"/>
      <c r="P388" s="10"/>
      <c r="Q388" s="10"/>
      <c r="R388" s="10"/>
      <c r="S388" s="10"/>
    </row>
    <row r="389" spans="2:20" ht="15.6" x14ac:dyDescent="0.3">
      <c r="B389" s="263"/>
      <c r="C389" s="264"/>
      <c r="D389" s="23" t="s">
        <v>3</v>
      </c>
      <c r="E389" s="23" t="s">
        <v>4</v>
      </c>
      <c r="F389" s="24" t="s">
        <v>5</v>
      </c>
      <c r="G389" s="23" t="s">
        <v>6</v>
      </c>
      <c r="H389" s="27"/>
      <c r="I389" s="266"/>
      <c r="J389" s="267">
        <v>1500</v>
      </c>
      <c r="K389" s="33"/>
      <c r="L389" s="27"/>
      <c r="M389" s="27"/>
      <c r="N389" s="27"/>
      <c r="O389" s="27"/>
      <c r="P389" s="27"/>
      <c r="Q389" s="27"/>
      <c r="R389" s="27"/>
      <c r="S389" s="27"/>
    </row>
    <row r="390" spans="2:20" ht="15.6" x14ac:dyDescent="0.3">
      <c r="B390" s="263"/>
      <c r="C390" s="264"/>
      <c r="D390" s="5" t="s">
        <v>96</v>
      </c>
      <c r="E390" s="5" t="s">
        <v>38</v>
      </c>
      <c r="F390" s="21"/>
      <c r="G390" s="5"/>
      <c r="H390" s="4"/>
      <c r="I390" s="266"/>
      <c r="J390" s="267"/>
      <c r="K390" s="29"/>
      <c r="L390" s="10">
        <v>3</v>
      </c>
      <c r="M390" s="10"/>
      <c r="N390" s="10">
        <v>5</v>
      </c>
      <c r="O390" s="10">
        <v>3</v>
      </c>
      <c r="P390" s="10">
        <v>1</v>
      </c>
      <c r="Q390" s="10">
        <v>1</v>
      </c>
      <c r="R390" s="10"/>
      <c r="S390" s="10">
        <v>1</v>
      </c>
      <c r="T390" s="1">
        <f>SUM(K390:S390)</f>
        <v>14</v>
      </c>
    </row>
    <row r="391" spans="2:20" ht="15.6" x14ac:dyDescent="0.3">
      <c r="B391" s="263"/>
      <c r="C391" s="264"/>
      <c r="D391" s="265" t="s">
        <v>10</v>
      </c>
      <c r="E391" s="265"/>
      <c r="F391" s="265"/>
      <c r="G391" s="265"/>
      <c r="H391" s="4"/>
      <c r="I391" s="266"/>
      <c r="J391" s="267"/>
      <c r="K391" s="29"/>
      <c r="L391" s="10"/>
      <c r="M391" s="10"/>
      <c r="N391" s="10"/>
      <c r="O391" s="10"/>
      <c r="P391" s="10"/>
      <c r="Q391" s="10"/>
      <c r="R391" s="10"/>
      <c r="S391" s="10"/>
    </row>
    <row r="392" spans="2:20" ht="15.6" x14ac:dyDescent="0.3">
      <c r="B392" s="263"/>
      <c r="C392" s="264"/>
      <c r="D392" s="23" t="s">
        <v>3</v>
      </c>
      <c r="E392" s="23" t="s">
        <v>4</v>
      </c>
      <c r="F392" s="24" t="s">
        <v>5</v>
      </c>
      <c r="G392" s="23" t="s">
        <v>6</v>
      </c>
      <c r="H392" s="27"/>
      <c r="I392" s="266"/>
      <c r="J392" s="267"/>
      <c r="K392" s="33"/>
      <c r="L392" s="27"/>
      <c r="M392" s="27"/>
      <c r="N392" s="27"/>
      <c r="O392" s="27"/>
      <c r="P392" s="27"/>
      <c r="Q392" s="27"/>
      <c r="R392" s="27"/>
      <c r="S392" s="27"/>
    </row>
    <row r="393" spans="2:20" x14ac:dyDescent="0.3">
      <c r="B393" s="263"/>
      <c r="C393" s="264"/>
      <c r="D393" s="5"/>
      <c r="E393" s="5"/>
      <c r="F393" s="21"/>
      <c r="G393" s="5"/>
      <c r="H393" s="6"/>
      <c r="I393" s="266"/>
      <c r="J393" s="267"/>
      <c r="K393" s="29"/>
      <c r="L393" s="10"/>
      <c r="M393" s="10"/>
      <c r="N393" s="10"/>
      <c r="O393" s="10"/>
      <c r="P393" s="10"/>
      <c r="Q393" s="10"/>
      <c r="R393" s="10"/>
      <c r="S393" s="10"/>
    </row>
    <row r="394" spans="2:20" ht="31.2" x14ac:dyDescent="0.3">
      <c r="B394" s="7"/>
      <c r="C394" s="15"/>
      <c r="D394" s="260" t="s">
        <v>17</v>
      </c>
      <c r="E394" s="260"/>
      <c r="F394" s="260"/>
      <c r="G394" s="260"/>
      <c r="H394" s="260" t="s">
        <v>9</v>
      </c>
      <c r="I394" s="260"/>
      <c r="J394" s="8"/>
      <c r="K394" s="261" t="s">
        <v>13</v>
      </c>
      <c r="L394" s="262"/>
      <c r="M394" s="261" t="s">
        <v>14</v>
      </c>
      <c r="N394" s="262"/>
      <c r="O394" s="8" t="s">
        <v>15</v>
      </c>
      <c r="P394" s="8" t="s">
        <v>101</v>
      </c>
      <c r="Q394" s="8" t="s">
        <v>103</v>
      </c>
      <c r="R394" s="8" t="s">
        <v>104</v>
      </c>
      <c r="S394" s="8" t="s">
        <v>131</v>
      </c>
    </row>
    <row r="395" spans="2:20" ht="15.6" x14ac:dyDescent="0.3">
      <c r="B395" s="7"/>
      <c r="C395" s="15"/>
      <c r="D395" s="260"/>
      <c r="E395" s="260"/>
      <c r="F395" s="260"/>
      <c r="G395" s="260"/>
      <c r="H395" s="4" t="s">
        <v>7</v>
      </c>
      <c r="I395" s="4" t="s">
        <v>8</v>
      </c>
      <c r="J395" s="3" t="s">
        <v>8</v>
      </c>
      <c r="K395" s="26">
        <v>45901</v>
      </c>
      <c r="L395" s="26">
        <v>45992</v>
      </c>
      <c r="M395" s="26">
        <v>45931</v>
      </c>
      <c r="N395" s="30">
        <v>45992</v>
      </c>
      <c r="O395" s="30">
        <v>45992</v>
      </c>
      <c r="P395" s="30">
        <v>45992</v>
      </c>
      <c r="Q395" s="30"/>
      <c r="R395" s="30"/>
      <c r="S395" s="30"/>
    </row>
    <row r="396" spans="2:20" ht="15.6" x14ac:dyDescent="0.3">
      <c r="B396" s="263">
        <v>48</v>
      </c>
      <c r="C396" s="264" t="s">
        <v>127</v>
      </c>
      <c r="D396" s="265" t="s">
        <v>2</v>
      </c>
      <c r="E396" s="265"/>
      <c r="F396" s="265"/>
      <c r="G396" s="265"/>
      <c r="H396" s="6"/>
      <c r="I396" s="12"/>
      <c r="J396" s="25"/>
      <c r="K396" s="29"/>
      <c r="L396" s="10"/>
      <c r="M396" s="10"/>
      <c r="N396" s="10"/>
      <c r="O396" s="10"/>
      <c r="P396" s="10"/>
      <c r="Q396" s="10"/>
      <c r="R396" s="10"/>
      <c r="S396" s="10"/>
    </row>
    <row r="397" spans="2:20" ht="15.6" x14ac:dyDescent="0.3">
      <c r="B397" s="263"/>
      <c r="C397" s="264"/>
      <c r="D397" s="23" t="s">
        <v>3</v>
      </c>
      <c r="E397" s="23" t="s">
        <v>4</v>
      </c>
      <c r="F397" s="24" t="s">
        <v>5</v>
      </c>
      <c r="G397" s="23" t="s">
        <v>6</v>
      </c>
      <c r="H397" s="27"/>
      <c r="I397" s="266"/>
      <c r="J397" s="267">
        <v>1500</v>
      </c>
      <c r="K397" s="33"/>
      <c r="L397" s="27"/>
      <c r="M397" s="27"/>
      <c r="N397" s="27"/>
      <c r="O397" s="27"/>
      <c r="P397" s="27"/>
      <c r="Q397" s="27"/>
      <c r="R397" s="27"/>
      <c r="S397" s="27"/>
    </row>
    <row r="398" spans="2:20" ht="15.6" x14ac:dyDescent="0.3">
      <c r="B398" s="263"/>
      <c r="C398" s="264"/>
      <c r="D398" s="5" t="s">
        <v>128</v>
      </c>
      <c r="E398" s="5" t="s">
        <v>88</v>
      </c>
      <c r="F398" s="21">
        <v>300</v>
      </c>
      <c r="G398" s="5"/>
      <c r="H398" s="4"/>
      <c r="I398" s="266"/>
      <c r="J398" s="267"/>
      <c r="K398" s="29"/>
      <c r="L398" s="10"/>
      <c r="M398" s="10"/>
      <c r="N398" s="10"/>
      <c r="O398" s="10"/>
      <c r="P398" s="10"/>
      <c r="Q398" s="10"/>
      <c r="R398" s="10"/>
      <c r="S398" s="10"/>
    </row>
    <row r="399" spans="2:20" ht="15.6" x14ac:dyDescent="0.3">
      <c r="B399" s="263"/>
      <c r="C399" s="264"/>
      <c r="D399" s="265" t="s">
        <v>10</v>
      </c>
      <c r="E399" s="265"/>
      <c r="F399" s="265"/>
      <c r="G399" s="265"/>
      <c r="H399" s="4"/>
      <c r="I399" s="266"/>
      <c r="J399" s="267"/>
      <c r="K399" s="29"/>
      <c r="L399" s="10"/>
      <c r="M399" s="10"/>
      <c r="N399" s="10"/>
      <c r="O399" s="10"/>
      <c r="P399" s="10"/>
      <c r="Q399" s="10"/>
      <c r="R399" s="10"/>
      <c r="S399" s="10"/>
    </row>
    <row r="400" spans="2:20" ht="15.6" x14ac:dyDescent="0.3">
      <c r="B400" s="263"/>
      <c r="C400" s="264"/>
      <c r="D400" s="23" t="s">
        <v>3</v>
      </c>
      <c r="E400" s="23" t="s">
        <v>4</v>
      </c>
      <c r="F400" s="24" t="s">
        <v>5</v>
      </c>
      <c r="G400" s="23" t="s">
        <v>6</v>
      </c>
      <c r="H400" s="27"/>
      <c r="I400" s="266"/>
      <c r="J400" s="267"/>
      <c r="K400" s="33"/>
      <c r="L400" s="27"/>
      <c r="M400" s="27"/>
      <c r="N400" s="27"/>
      <c r="O400" s="27"/>
      <c r="P400" s="27"/>
      <c r="Q400" s="27"/>
      <c r="R400" s="27"/>
      <c r="S400" s="27"/>
    </row>
    <row r="401" spans="2:19" x14ac:dyDescent="0.3">
      <c r="B401" s="263"/>
      <c r="C401" s="264"/>
      <c r="D401" s="5"/>
      <c r="E401" s="5"/>
      <c r="F401" s="21"/>
      <c r="G401" s="5"/>
      <c r="H401" s="6"/>
      <c r="I401" s="266"/>
      <c r="J401" s="267"/>
      <c r="K401" s="29"/>
      <c r="L401" s="10"/>
      <c r="M401" s="10"/>
      <c r="N401" s="10"/>
      <c r="O401" s="10"/>
      <c r="P401" s="10"/>
      <c r="Q401" s="10"/>
      <c r="R401" s="10"/>
      <c r="S401" s="10"/>
    </row>
    <row r="402" spans="2:19" ht="31.2" x14ac:dyDescent="0.3">
      <c r="B402" s="7"/>
      <c r="C402" s="15"/>
      <c r="D402" s="260" t="s">
        <v>17</v>
      </c>
      <c r="E402" s="260"/>
      <c r="F402" s="260"/>
      <c r="G402" s="260"/>
      <c r="H402" s="260" t="s">
        <v>9</v>
      </c>
      <c r="I402" s="260"/>
      <c r="J402" s="8"/>
      <c r="K402" s="261" t="s">
        <v>13</v>
      </c>
      <c r="L402" s="262"/>
      <c r="M402" s="261" t="s">
        <v>14</v>
      </c>
      <c r="N402" s="262"/>
      <c r="O402" s="8" t="s">
        <v>15</v>
      </c>
      <c r="P402" s="8" t="s">
        <v>101</v>
      </c>
      <c r="Q402" s="8" t="s">
        <v>103</v>
      </c>
      <c r="R402" s="8" t="s">
        <v>104</v>
      </c>
      <c r="S402" s="8" t="s">
        <v>131</v>
      </c>
    </row>
    <row r="403" spans="2:19" ht="15.6" x14ac:dyDescent="0.3">
      <c r="B403" s="7"/>
      <c r="C403" s="15"/>
      <c r="D403" s="260"/>
      <c r="E403" s="260"/>
      <c r="F403" s="260"/>
      <c r="G403" s="260"/>
      <c r="H403" s="4" t="s">
        <v>7</v>
      </c>
      <c r="I403" s="4" t="s">
        <v>8</v>
      </c>
      <c r="J403" s="3" t="s">
        <v>8</v>
      </c>
      <c r="K403" s="26">
        <v>45901</v>
      </c>
      <c r="L403" s="26">
        <v>45992</v>
      </c>
      <c r="M403" s="26">
        <v>45931</v>
      </c>
      <c r="N403" s="30">
        <v>45992</v>
      </c>
      <c r="O403" s="30">
        <v>45992</v>
      </c>
      <c r="P403" s="30">
        <v>45992</v>
      </c>
      <c r="Q403" s="30"/>
      <c r="R403" s="30"/>
      <c r="S403" s="30"/>
    </row>
    <row r="404" spans="2:19" ht="15.6" x14ac:dyDescent="0.3">
      <c r="B404" s="263">
        <v>49</v>
      </c>
      <c r="C404" s="264" t="s">
        <v>132</v>
      </c>
      <c r="D404" s="265" t="s">
        <v>2</v>
      </c>
      <c r="E404" s="265"/>
      <c r="F404" s="265"/>
      <c r="G404" s="265"/>
      <c r="H404" s="6"/>
      <c r="I404" s="12"/>
      <c r="J404" s="25"/>
      <c r="K404" s="29"/>
      <c r="L404" s="10"/>
      <c r="M404" s="10"/>
      <c r="N404" s="10"/>
      <c r="O404" s="10"/>
      <c r="P404" s="10"/>
      <c r="Q404" s="10"/>
      <c r="R404" s="10"/>
      <c r="S404" s="10"/>
    </row>
    <row r="405" spans="2:19" ht="15.6" x14ac:dyDescent="0.3">
      <c r="B405" s="263"/>
      <c r="C405" s="264"/>
      <c r="D405" s="23" t="s">
        <v>3</v>
      </c>
      <c r="E405" s="23" t="s">
        <v>4</v>
      </c>
      <c r="F405" s="24" t="s">
        <v>5</v>
      </c>
      <c r="G405" s="23" t="s">
        <v>6</v>
      </c>
      <c r="H405" s="27"/>
      <c r="I405" s="266">
        <v>500</v>
      </c>
      <c r="J405" s="267"/>
      <c r="K405" s="33"/>
      <c r="L405" s="27"/>
      <c r="M405" s="27"/>
      <c r="N405" s="27"/>
      <c r="O405" s="27"/>
      <c r="P405" s="27"/>
      <c r="Q405" s="27"/>
      <c r="R405" s="27"/>
      <c r="S405" s="27"/>
    </row>
    <row r="406" spans="2:19" x14ac:dyDescent="0.3">
      <c r="B406" s="263"/>
      <c r="C406" s="264"/>
      <c r="D406" s="5" t="s">
        <v>133</v>
      </c>
      <c r="E406" s="5" t="s">
        <v>88</v>
      </c>
      <c r="F406" s="21"/>
      <c r="G406" s="5"/>
      <c r="H406" s="6">
        <v>2</v>
      </c>
      <c r="I406" s="266"/>
      <c r="J406" s="267"/>
      <c r="K406" s="29"/>
      <c r="L406" s="10"/>
      <c r="M406" s="10"/>
      <c r="N406" s="10"/>
      <c r="O406" s="10"/>
      <c r="P406" s="10"/>
      <c r="Q406" s="10"/>
      <c r="R406" s="10"/>
      <c r="S406" s="10"/>
    </row>
    <row r="407" spans="2:19" ht="15.6" x14ac:dyDescent="0.3">
      <c r="B407" s="263"/>
      <c r="C407" s="264"/>
      <c r="D407" s="265" t="s">
        <v>10</v>
      </c>
      <c r="E407" s="265"/>
      <c r="F407" s="265"/>
      <c r="G407" s="265"/>
      <c r="H407" s="4"/>
      <c r="I407" s="266"/>
      <c r="J407" s="267"/>
      <c r="K407" s="29"/>
      <c r="L407" s="10"/>
      <c r="M407" s="10"/>
      <c r="N407" s="10"/>
      <c r="O407" s="10"/>
      <c r="P407" s="10"/>
      <c r="Q407" s="10"/>
      <c r="R407" s="10"/>
      <c r="S407" s="10"/>
    </row>
    <row r="408" spans="2:19" ht="15.6" x14ac:dyDescent="0.3">
      <c r="B408" s="263"/>
      <c r="C408" s="264"/>
      <c r="D408" s="23" t="s">
        <v>3</v>
      </c>
      <c r="E408" s="23" t="s">
        <v>4</v>
      </c>
      <c r="F408" s="24" t="s">
        <v>5</v>
      </c>
      <c r="G408" s="23" t="s">
        <v>6</v>
      </c>
      <c r="H408" s="27"/>
      <c r="I408" s="266"/>
      <c r="J408" s="267"/>
      <c r="K408" s="33"/>
      <c r="L408" s="27"/>
      <c r="M408" s="27"/>
      <c r="N408" s="27"/>
      <c r="O408" s="27"/>
      <c r="P408" s="27"/>
      <c r="Q408" s="27"/>
      <c r="R408" s="27"/>
      <c r="S408" s="27"/>
    </row>
    <row r="409" spans="2:19" x14ac:dyDescent="0.3">
      <c r="B409" s="263"/>
      <c r="C409" s="264"/>
      <c r="D409" s="5"/>
      <c r="E409" s="5"/>
      <c r="F409" s="21"/>
      <c r="G409" s="5"/>
      <c r="H409" s="6"/>
      <c r="I409" s="266"/>
      <c r="J409" s="267"/>
      <c r="K409" s="29"/>
      <c r="L409" s="10"/>
      <c r="M409" s="10"/>
      <c r="N409" s="10"/>
      <c r="O409" s="10"/>
      <c r="P409" s="10"/>
      <c r="Q409" s="10"/>
      <c r="R409" s="10"/>
      <c r="S409" s="10"/>
    </row>
    <row r="410" spans="2:19" ht="31.2" x14ac:dyDescent="0.3">
      <c r="B410" s="7"/>
      <c r="C410" s="15"/>
      <c r="D410" s="260" t="s">
        <v>17</v>
      </c>
      <c r="E410" s="260"/>
      <c r="F410" s="260"/>
      <c r="G410" s="260"/>
      <c r="H410" s="260" t="s">
        <v>9</v>
      </c>
      <c r="I410" s="260"/>
      <c r="J410" s="8"/>
      <c r="K410" s="261" t="s">
        <v>13</v>
      </c>
      <c r="L410" s="262"/>
      <c r="M410" s="261" t="s">
        <v>14</v>
      </c>
      <c r="N410" s="262"/>
      <c r="O410" s="8" t="s">
        <v>15</v>
      </c>
      <c r="P410" s="8" t="s">
        <v>101</v>
      </c>
      <c r="Q410" s="8" t="s">
        <v>103</v>
      </c>
      <c r="R410" s="8" t="s">
        <v>104</v>
      </c>
      <c r="S410" s="8" t="s">
        <v>131</v>
      </c>
    </row>
    <row r="411" spans="2:19" ht="15.6" x14ac:dyDescent="0.3">
      <c r="B411" s="7"/>
      <c r="C411" s="15"/>
      <c r="D411" s="260"/>
      <c r="E411" s="260"/>
      <c r="F411" s="260"/>
      <c r="G411" s="260"/>
      <c r="H411" s="4" t="s">
        <v>7</v>
      </c>
      <c r="I411" s="4" t="s">
        <v>8</v>
      </c>
      <c r="J411" s="3" t="s">
        <v>8</v>
      </c>
      <c r="K411" s="26">
        <v>45901</v>
      </c>
      <c r="L411" s="26">
        <v>45992</v>
      </c>
      <c r="M411" s="26">
        <v>45931</v>
      </c>
      <c r="N411" s="30">
        <v>45992</v>
      </c>
      <c r="O411" s="30">
        <v>45992</v>
      </c>
      <c r="P411" s="30">
        <v>45992</v>
      </c>
      <c r="Q411" s="30"/>
      <c r="R411" s="30"/>
      <c r="S411" s="30"/>
    </row>
    <row r="412" spans="2:19" ht="15.6" x14ac:dyDescent="0.3">
      <c r="B412" s="263">
        <v>50</v>
      </c>
      <c r="C412" s="264" t="s">
        <v>134</v>
      </c>
      <c r="D412" s="265" t="s">
        <v>2</v>
      </c>
      <c r="E412" s="265"/>
      <c r="F412" s="265"/>
      <c r="G412" s="265"/>
      <c r="H412" s="6"/>
      <c r="I412" s="12"/>
      <c r="J412" s="25"/>
      <c r="K412" s="29"/>
      <c r="L412" s="10"/>
      <c r="M412" s="10"/>
      <c r="N412" s="10"/>
      <c r="O412" s="10"/>
      <c r="P412" s="10"/>
      <c r="Q412" s="10"/>
      <c r="R412" s="10"/>
      <c r="S412" s="10"/>
    </row>
    <row r="413" spans="2:19" ht="15.6" x14ac:dyDescent="0.3">
      <c r="B413" s="263"/>
      <c r="C413" s="264"/>
      <c r="D413" s="23" t="s">
        <v>3</v>
      </c>
      <c r="E413" s="23" t="s">
        <v>4</v>
      </c>
      <c r="F413" s="24" t="s">
        <v>5</v>
      </c>
      <c r="G413" s="23" t="s">
        <v>6</v>
      </c>
      <c r="H413" s="27"/>
      <c r="I413" s="266">
        <v>1000</v>
      </c>
      <c r="J413" s="267">
        <v>1500</v>
      </c>
      <c r="K413" s="33"/>
      <c r="L413" s="27"/>
      <c r="M413" s="27"/>
      <c r="N413" s="27"/>
      <c r="O413" s="27"/>
      <c r="P413" s="27"/>
      <c r="Q413" s="27"/>
      <c r="R413" s="27"/>
      <c r="S413" s="27"/>
    </row>
    <row r="414" spans="2:19" x14ac:dyDescent="0.3">
      <c r="B414" s="263"/>
      <c r="C414" s="264"/>
      <c r="D414" s="5" t="s">
        <v>135</v>
      </c>
      <c r="E414" s="5" t="s">
        <v>88</v>
      </c>
      <c r="F414" s="21">
        <v>350</v>
      </c>
      <c r="G414" s="5"/>
      <c r="H414" s="6">
        <v>11</v>
      </c>
      <c r="I414" s="266"/>
      <c r="J414" s="267"/>
      <c r="K414" s="29"/>
      <c r="L414" s="10"/>
      <c r="M414" s="10"/>
      <c r="N414" s="10"/>
      <c r="O414" s="10"/>
      <c r="P414" s="10"/>
      <c r="Q414" s="10"/>
      <c r="R414" s="10"/>
      <c r="S414" s="10"/>
    </row>
    <row r="415" spans="2:19" ht="15.6" x14ac:dyDescent="0.3">
      <c r="B415" s="263"/>
      <c r="C415" s="264"/>
      <c r="D415" s="265" t="s">
        <v>10</v>
      </c>
      <c r="E415" s="265"/>
      <c r="F415" s="265"/>
      <c r="G415" s="265"/>
      <c r="H415" s="4"/>
      <c r="I415" s="266"/>
      <c r="J415" s="267"/>
      <c r="K415" s="29"/>
      <c r="L415" s="10"/>
      <c r="M415" s="10"/>
      <c r="N415" s="10"/>
      <c r="O415" s="10"/>
      <c r="P415" s="10"/>
      <c r="Q415" s="10"/>
      <c r="R415" s="10"/>
      <c r="S415" s="10"/>
    </row>
    <row r="416" spans="2:19" ht="15.6" x14ac:dyDescent="0.3">
      <c r="B416" s="263"/>
      <c r="C416" s="264"/>
      <c r="D416" s="23" t="s">
        <v>3</v>
      </c>
      <c r="E416" s="23" t="s">
        <v>4</v>
      </c>
      <c r="F416" s="24" t="s">
        <v>5</v>
      </c>
      <c r="G416" s="23" t="s">
        <v>6</v>
      </c>
      <c r="H416" s="27"/>
      <c r="I416" s="266"/>
      <c r="J416" s="267"/>
      <c r="K416" s="33"/>
      <c r="L416" s="27"/>
      <c r="M416" s="27"/>
      <c r="N416" s="27"/>
      <c r="O416" s="27"/>
      <c r="P416" s="27"/>
      <c r="Q416" s="27"/>
      <c r="R416" s="27"/>
      <c r="S416" s="27"/>
    </row>
    <row r="417" spans="2:19" x14ac:dyDescent="0.3">
      <c r="B417" s="263"/>
      <c r="C417" s="264"/>
      <c r="D417" s="5"/>
      <c r="E417" s="5"/>
      <c r="F417" s="21"/>
      <c r="G417" s="5"/>
      <c r="H417" s="6"/>
      <c r="I417" s="266"/>
      <c r="J417" s="267"/>
      <c r="K417" s="29"/>
      <c r="L417" s="10"/>
      <c r="M417" s="10"/>
      <c r="N417" s="10"/>
      <c r="O417" s="10"/>
      <c r="P417" s="10"/>
      <c r="Q417" s="10"/>
      <c r="R417" s="10"/>
      <c r="S417" s="10"/>
    </row>
    <row r="418" spans="2:19" ht="31.2" x14ac:dyDescent="0.3">
      <c r="B418" s="7"/>
      <c r="C418" s="15"/>
      <c r="D418" s="260" t="s">
        <v>17</v>
      </c>
      <c r="E418" s="260"/>
      <c r="F418" s="260"/>
      <c r="G418" s="260"/>
      <c r="H418" s="260" t="s">
        <v>9</v>
      </c>
      <c r="I418" s="260"/>
      <c r="J418" s="8"/>
      <c r="K418" s="261" t="s">
        <v>13</v>
      </c>
      <c r="L418" s="262"/>
      <c r="M418" s="261" t="s">
        <v>14</v>
      </c>
      <c r="N418" s="262"/>
      <c r="O418" s="8" t="s">
        <v>15</v>
      </c>
      <c r="P418" s="8" t="s">
        <v>101</v>
      </c>
      <c r="Q418" s="8" t="s">
        <v>103</v>
      </c>
      <c r="R418" s="8" t="s">
        <v>104</v>
      </c>
      <c r="S418" s="8" t="s">
        <v>131</v>
      </c>
    </row>
    <row r="419" spans="2:19" ht="15.6" x14ac:dyDescent="0.3">
      <c r="B419" s="7"/>
      <c r="C419" s="15"/>
      <c r="D419" s="260"/>
      <c r="E419" s="260"/>
      <c r="F419" s="260"/>
      <c r="G419" s="260"/>
      <c r="H419" s="4" t="s">
        <v>7</v>
      </c>
      <c r="I419" s="4" t="s">
        <v>8</v>
      </c>
      <c r="J419" s="3" t="s">
        <v>8</v>
      </c>
      <c r="K419" s="26">
        <v>45901</v>
      </c>
      <c r="L419" s="26">
        <v>45992</v>
      </c>
      <c r="M419" s="26">
        <v>45931</v>
      </c>
      <c r="N419" s="30">
        <v>45992</v>
      </c>
      <c r="O419" s="30">
        <v>45992</v>
      </c>
      <c r="P419" s="30">
        <v>45992</v>
      </c>
      <c r="Q419" s="30"/>
      <c r="R419" s="30"/>
      <c r="S419" s="30"/>
    </row>
    <row r="420" spans="2:19" ht="15.6" x14ac:dyDescent="0.3">
      <c r="B420" s="263">
        <v>51</v>
      </c>
      <c r="C420" s="264" t="s">
        <v>136</v>
      </c>
      <c r="D420" s="265" t="s">
        <v>2</v>
      </c>
      <c r="E420" s="265"/>
      <c r="F420" s="265"/>
      <c r="G420" s="265"/>
      <c r="H420" s="6"/>
      <c r="I420" s="12"/>
      <c r="J420" s="25"/>
      <c r="K420" s="29"/>
      <c r="L420" s="10"/>
      <c r="M420" s="10"/>
      <c r="N420" s="10"/>
      <c r="O420" s="10"/>
      <c r="P420" s="10"/>
      <c r="Q420" s="10"/>
      <c r="R420" s="10"/>
      <c r="S420" s="10"/>
    </row>
    <row r="421" spans="2:19" ht="15.6" x14ac:dyDescent="0.3">
      <c r="B421" s="263"/>
      <c r="C421" s="264"/>
      <c r="D421" s="23" t="s">
        <v>3</v>
      </c>
      <c r="E421" s="23" t="s">
        <v>4</v>
      </c>
      <c r="F421" s="24" t="s">
        <v>5</v>
      </c>
      <c r="G421" s="23" t="s">
        <v>6</v>
      </c>
      <c r="H421" s="27"/>
      <c r="I421" s="266">
        <v>500</v>
      </c>
      <c r="J421" s="267">
        <v>1500</v>
      </c>
      <c r="K421" s="33"/>
      <c r="L421" s="27"/>
      <c r="M421" s="27"/>
      <c r="N421" s="27"/>
      <c r="O421" s="27"/>
      <c r="P421" s="27"/>
      <c r="Q421" s="27"/>
      <c r="R421" s="27"/>
      <c r="S421" s="27"/>
    </row>
    <row r="422" spans="2:19" ht="15.6" x14ac:dyDescent="0.3">
      <c r="B422" s="263"/>
      <c r="C422" s="264"/>
      <c r="D422" s="5"/>
      <c r="E422" s="5" t="s">
        <v>88</v>
      </c>
      <c r="F422" s="21"/>
      <c r="G422" s="5"/>
      <c r="H422" s="4"/>
      <c r="I422" s="266"/>
      <c r="J422" s="267"/>
      <c r="K422" s="29"/>
      <c r="L422" s="10"/>
      <c r="M422" s="10"/>
      <c r="N422" s="10"/>
      <c r="O422" s="10"/>
      <c r="P422" s="10"/>
      <c r="Q422" s="10"/>
      <c r="R422" s="10"/>
      <c r="S422" s="10"/>
    </row>
    <row r="423" spans="2:19" ht="15.6" x14ac:dyDescent="0.3">
      <c r="B423" s="263"/>
      <c r="C423" s="264"/>
      <c r="D423" s="265" t="s">
        <v>10</v>
      </c>
      <c r="E423" s="265"/>
      <c r="F423" s="265"/>
      <c r="G423" s="265"/>
      <c r="H423" s="4"/>
      <c r="I423" s="266"/>
      <c r="J423" s="267"/>
      <c r="K423" s="29"/>
      <c r="L423" s="10"/>
      <c r="M423" s="10"/>
      <c r="N423" s="10"/>
      <c r="O423" s="10"/>
      <c r="P423" s="10"/>
      <c r="Q423" s="10"/>
      <c r="R423" s="10"/>
      <c r="S423" s="10"/>
    </row>
    <row r="424" spans="2:19" ht="15.6" x14ac:dyDescent="0.3">
      <c r="B424" s="263"/>
      <c r="C424" s="264"/>
      <c r="D424" s="23" t="s">
        <v>3</v>
      </c>
      <c r="E424" s="23" t="s">
        <v>4</v>
      </c>
      <c r="F424" s="24" t="s">
        <v>5</v>
      </c>
      <c r="G424" s="23" t="s">
        <v>6</v>
      </c>
      <c r="H424" s="27"/>
      <c r="I424" s="266"/>
      <c r="J424" s="267"/>
      <c r="K424" s="33"/>
      <c r="L424" s="27"/>
      <c r="M424" s="27"/>
      <c r="N424" s="27"/>
      <c r="O424" s="27"/>
      <c r="P424" s="27"/>
      <c r="Q424" s="27"/>
      <c r="R424" s="27"/>
      <c r="S424" s="27"/>
    </row>
    <row r="425" spans="2:19" x14ac:dyDescent="0.3">
      <c r="B425" s="263"/>
      <c r="C425" s="264"/>
      <c r="D425" s="5"/>
      <c r="E425" s="5"/>
      <c r="F425" s="21"/>
      <c r="G425" s="5"/>
      <c r="H425" s="6"/>
      <c r="I425" s="266"/>
      <c r="J425" s="267"/>
      <c r="K425" s="29"/>
      <c r="L425" s="10"/>
      <c r="M425" s="10"/>
      <c r="N425" s="10"/>
      <c r="O425" s="10"/>
      <c r="P425" s="10"/>
      <c r="Q425" s="10"/>
      <c r="R425" s="10"/>
      <c r="S425" s="10"/>
    </row>
    <row r="426" spans="2:19" ht="31.2" x14ac:dyDescent="0.3">
      <c r="B426" s="7"/>
      <c r="C426" s="15"/>
      <c r="D426" s="260" t="s">
        <v>17</v>
      </c>
      <c r="E426" s="260"/>
      <c r="F426" s="260"/>
      <c r="G426" s="260"/>
      <c r="H426" s="260" t="s">
        <v>9</v>
      </c>
      <c r="I426" s="260"/>
      <c r="J426" s="8"/>
      <c r="K426" s="261" t="s">
        <v>13</v>
      </c>
      <c r="L426" s="262"/>
      <c r="M426" s="261" t="s">
        <v>14</v>
      </c>
      <c r="N426" s="262"/>
      <c r="O426" s="8" t="s">
        <v>15</v>
      </c>
      <c r="P426" s="8" t="s">
        <v>101</v>
      </c>
      <c r="Q426" s="8" t="s">
        <v>103</v>
      </c>
      <c r="R426" s="8" t="s">
        <v>104</v>
      </c>
      <c r="S426" s="8" t="s">
        <v>131</v>
      </c>
    </row>
    <row r="427" spans="2:19" ht="15.6" x14ac:dyDescent="0.3">
      <c r="B427" s="7"/>
      <c r="C427" s="15"/>
      <c r="D427" s="260"/>
      <c r="E427" s="260"/>
      <c r="F427" s="260"/>
      <c r="G427" s="260"/>
      <c r="H427" s="4" t="s">
        <v>7</v>
      </c>
      <c r="I427" s="4" t="s">
        <v>8</v>
      </c>
      <c r="J427" s="3" t="s">
        <v>8</v>
      </c>
      <c r="K427" s="26">
        <v>45901</v>
      </c>
      <c r="L427" s="26">
        <v>45992</v>
      </c>
      <c r="M427" s="26">
        <v>45931</v>
      </c>
      <c r="N427" s="30">
        <v>45992</v>
      </c>
      <c r="O427" s="30">
        <v>45992</v>
      </c>
      <c r="P427" s="30">
        <v>45992</v>
      </c>
      <c r="Q427" s="30"/>
      <c r="R427" s="30"/>
      <c r="S427" s="30"/>
    </row>
    <row r="428" spans="2:19" ht="15.6" x14ac:dyDescent="0.3">
      <c r="B428" s="263">
        <v>52</v>
      </c>
      <c r="C428" s="264" t="s">
        <v>137</v>
      </c>
      <c r="D428" s="265" t="s">
        <v>2</v>
      </c>
      <c r="E428" s="265"/>
      <c r="F428" s="265"/>
      <c r="G428" s="265"/>
      <c r="H428" s="6"/>
      <c r="I428" s="12"/>
      <c r="J428" s="25"/>
      <c r="K428" s="29"/>
      <c r="L428" s="10"/>
      <c r="M428" s="10"/>
      <c r="N428" s="10"/>
      <c r="O428" s="10"/>
      <c r="P428" s="10"/>
      <c r="Q428" s="10"/>
      <c r="R428" s="10"/>
      <c r="S428" s="10"/>
    </row>
    <row r="429" spans="2:19" ht="15.6" x14ac:dyDescent="0.3">
      <c r="B429" s="263"/>
      <c r="C429" s="264"/>
      <c r="D429" s="23" t="s">
        <v>3</v>
      </c>
      <c r="E429" s="23" t="s">
        <v>4</v>
      </c>
      <c r="F429" s="24" t="s">
        <v>5</v>
      </c>
      <c r="G429" s="23" t="s">
        <v>6</v>
      </c>
      <c r="H429" s="27"/>
      <c r="I429" s="266"/>
      <c r="J429" s="267"/>
      <c r="K429" s="33"/>
      <c r="L429" s="27"/>
      <c r="M429" s="27"/>
      <c r="N429" s="27"/>
      <c r="O429" s="27"/>
      <c r="P429" s="27"/>
      <c r="Q429" s="27"/>
      <c r="R429" s="27"/>
      <c r="S429" s="27"/>
    </row>
    <row r="430" spans="2:19" ht="15.6" x14ac:dyDescent="0.3">
      <c r="B430" s="263"/>
      <c r="C430" s="264"/>
      <c r="D430" s="5"/>
      <c r="E430" s="5" t="s">
        <v>88</v>
      </c>
      <c r="F430" s="21"/>
      <c r="G430" s="5"/>
      <c r="H430" s="4"/>
      <c r="I430" s="266"/>
      <c r="J430" s="267"/>
      <c r="K430" s="29"/>
      <c r="L430" s="10"/>
      <c r="M430" s="10"/>
      <c r="N430" s="10"/>
      <c r="O430" s="10"/>
      <c r="P430" s="10"/>
      <c r="Q430" s="10"/>
      <c r="R430" s="10"/>
      <c r="S430" s="10"/>
    </row>
    <row r="431" spans="2:19" ht="15.6" x14ac:dyDescent="0.3">
      <c r="B431" s="263"/>
      <c r="C431" s="264"/>
      <c r="D431" s="265" t="s">
        <v>10</v>
      </c>
      <c r="E431" s="265"/>
      <c r="F431" s="265"/>
      <c r="G431" s="265"/>
      <c r="H431" s="4"/>
      <c r="I431" s="266"/>
      <c r="J431" s="267"/>
      <c r="K431" s="29"/>
      <c r="L431" s="10"/>
      <c r="M431" s="10"/>
      <c r="N431" s="10"/>
      <c r="O431" s="10"/>
      <c r="P431" s="10"/>
      <c r="Q431" s="10"/>
      <c r="R431" s="10"/>
      <c r="S431" s="10"/>
    </row>
    <row r="432" spans="2:19" ht="15.6" x14ac:dyDescent="0.3">
      <c r="B432" s="263"/>
      <c r="C432" s="264"/>
      <c r="D432" s="23" t="s">
        <v>3</v>
      </c>
      <c r="E432" s="23" t="s">
        <v>4</v>
      </c>
      <c r="F432" s="24" t="s">
        <v>5</v>
      </c>
      <c r="G432" s="23" t="s">
        <v>6</v>
      </c>
      <c r="H432" s="27"/>
      <c r="I432" s="266"/>
      <c r="J432" s="267"/>
      <c r="K432" s="33"/>
      <c r="L432" s="27"/>
      <c r="M432" s="27"/>
      <c r="N432" s="27"/>
      <c r="O432" s="27"/>
      <c r="P432" s="27"/>
      <c r="Q432" s="27"/>
      <c r="R432" s="27"/>
      <c r="S432" s="27"/>
    </row>
    <row r="433" spans="2:19" x14ac:dyDescent="0.3">
      <c r="B433" s="263"/>
      <c r="C433" s="264"/>
      <c r="D433" s="5"/>
      <c r="E433" s="5"/>
      <c r="F433" s="21"/>
      <c r="G433" s="5"/>
      <c r="H433" s="6"/>
      <c r="I433" s="266"/>
      <c r="J433" s="267"/>
      <c r="K433" s="29"/>
      <c r="L433" s="10"/>
      <c r="M433" s="10"/>
      <c r="N433" s="10"/>
      <c r="O433" s="10"/>
      <c r="P433" s="10"/>
      <c r="Q433" s="10"/>
      <c r="R433" s="10"/>
      <c r="S433" s="10"/>
    </row>
    <row r="434" spans="2:19" ht="31.2" x14ac:dyDescent="0.3">
      <c r="B434" s="7"/>
      <c r="C434" s="15"/>
      <c r="D434" s="260" t="s">
        <v>17</v>
      </c>
      <c r="E434" s="260"/>
      <c r="F434" s="260"/>
      <c r="G434" s="260"/>
      <c r="H434" s="260" t="s">
        <v>9</v>
      </c>
      <c r="I434" s="260"/>
      <c r="J434" s="8"/>
      <c r="K434" s="261" t="s">
        <v>13</v>
      </c>
      <c r="L434" s="262"/>
      <c r="M434" s="261" t="s">
        <v>14</v>
      </c>
      <c r="N434" s="262"/>
      <c r="O434" s="8" t="s">
        <v>15</v>
      </c>
      <c r="P434" s="8" t="s">
        <v>101</v>
      </c>
      <c r="Q434" s="8" t="s">
        <v>103</v>
      </c>
      <c r="R434" s="8" t="s">
        <v>104</v>
      </c>
      <c r="S434" s="8" t="s">
        <v>131</v>
      </c>
    </row>
    <row r="435" spans="2:19" ht="15.6" x14ac:dyDescent="0.3">
      <c r="B435" s="7"/>
      <c r="C435" s="15"/>
      <c r="D435" s="260"/>
      <c r="E435" s="260"/>
      <c r="F435" s="260"/>
      <c r="G435" s="260"/>
      <c r="H435" s="4" t="s">
        <v>7</v>
      </c>
      <c r="I435" s="4" t="s">
        <v>8</v>
      </c>
      <c r="J435" s="3" t="s">
        <v>8</v>
      </c>
      <c r="K435" s="26">
        <v>45901</v>
      </c>
      <c r="L435" s="26">
        <v>45992</v>
      </c>
      <c r="M435" s="26">
        <v>45931</v>
      </c>
      <c r="N435" s="30">
        <v>45992</v>
      </c>
      <c r="O435" s="30">
        <v>45992</v>
      </c>
      <c r="P435" s="30">
        <v>45992</v>
      </c>
      <c r="Q435" s="30"/>
      <c r="R435" s="30"/>
      <c r="S435" s="30"/>
    </row>
    <row r="436" spans="2:19" ht="15.6" x14ac:dyDescent="0.3">
      <c r="B436" s="263">
        <v>53</v>
      </c>
      <c r="C436" s="264" t="s">
        <v>143</v>
      </c>
      <c r="D436" s="265" t="s">
        <v>2</v>
      </c>
      <c r="E436" s="265"/>
      <c r="F436" s="265"/>
      <c r="G436" s="265"/>
      <c r="H436" s="6"/>
      <c r="I436" s="12"/>
      <c r="J436" s="25"/>
      <c r="K436" s="29"/>
      <c r="L436" s="10"/>
      <c r="M436" s="10"/>
      <c r="N436" s="10"/>
      <c r="O436" s="10"/>
      <c r="P436" s="10"/>
      <c r="Q436" s="10"/>
      <c r="R436" s="10"/>
      <c r="S436" s="10"/>
    </row>
    <row r="437" spans="2:19" ht="15.6" x14ac:dyDescent="0.3">
      <c r="B437" s="263"/>
      <c r="C437" s="264"/>
      <c r="D437" s="23" t="s">
        <v>3</v>
      </c>
      <c r="E437" s="23" t="s">
        <v>4</v>
      </c>
      <c r="F437" s="24" t="s">
        <v>5</v>
      </c>
      <c r="G437" s="23" t="s">
        <v>6</v>
      </c>
      <c r="H437" s="27"/>
      <c r="I437" s="266">
        <v>300</v>
      </c>
      <c r="J437" s="267">
        <v>1500</v>
      </c>
      <c r="K437" s="33"/>
      <c r="L437" s="27"/>
      <c r="M437" s="27"/>
      <c r="N437" s="27"/>
      <c r="O437" s="27"/>
      <c r="P437" s="27"/>
      <c r="Q437" s="27"/>
      <c r="R437" s="27"/>
      <c r="S437" s="27"/>
    </row>
    <row r="438" spans="2:19" x14ac:dyDescent="0.3">
      <c r="B438" s="263"/>
      <c r="C438" s="264"/>
      <c r="D438" s="5" t="s">
        <v>176</v>
      </c>
      <c r="E438" s="5"/>
      <c r="F438" s="21"/>
      <c r="G438" s="5"/>
      <c r="H438" s="6"/>
      <c r="I438" s="266"/>
      <c r="J438" s="267"/>
      <c r="K438" s="10"/>
      <c r="L438" s="10">
        <v>1</v>
      </c>
      <c r="M438" s="10"/>
      <c r="N438" s="10"/>
      <c r="O438" s="10"/>
      <c r="P438" s="10"/>
      <c r="Q438" s="10"/>
      <c r="R438" s="10"/>
      <c r="S438" s="10"/>
    </row>
    <row r="439" spans="2:19" ht="15.6" x14ac:dyDescent="0.3">
      <c r="B439" s="263"/>
      <c r="C439" s="264"/>
      <c r="D439" s="265" t="s">
        <v>10</v>
      </c>
      <c r="E439" s="265"/>
      <c r="F439" s="265"/>
      <c r="G439" s="265"/>
      <c r="H439" s="4"/>
      <c r="I439" s="266"/>
      <c r="J439" s="267"/>
      <c r="K439" s="29"/>
      <c r="L439" s="10"/>
      <c r="M439" s="10"/>
      <c r="N439" s="10"/>
      <c r="O439" s="10"/>
      <c r="P439" s="10"/>
      <c r="Q439" s="10"/>
      <c r="R439" s="10"/>
      <c r="S439" s="10"/>
    </row>
    <row r="440" spans="2:19" ht="15.6" x14ac:dyDescent="0.3">
      <c r="B440" s="263"/>
      <c r="C440" s="264"/>
      <c r="D440" s="23" t="s">
        <v>3</v>
      </c>
      <c r="E440" s="23" t="s">
        <v>4</v>
      </c>
      <c r="F440" s="24" t="s">
        <v>5</v>
      </c>
      <c r="G440" s="23" t="s">
        <v>6</v>
      </c>
      <c r="H440" s="27"/>
      <c r="I440" s="266"/>
      <c r="J440" s="267"/>
      <c r="K440" s="33"/>
      <c r="L440" s="27"/>
      <c r="M440" s="27"/>
      <c r="N440" s="27"/>
      <c r="O440" s="27"/>
      <c r="P440" s="27"/>
      <c r="Q440" s="27"/>
      <c r="R440" s="27"/>
      <c r="S440" s="27"/>
    </row>
    <row r="441" spans="2:19" x14ac:dyDescent="0.3">
      <c r="B441" s="263"/>
      <c r="C441" s="264"/>
      <c r="D441" s="5" t="s">
        <v>178</v>
      </c>
      <c r="E441" s="5"/>
      <c r="F441" s="21"/>
      <c r="G441" s="5"/>
      <c r="H441" s="6"/>
      <c r="I441" s="266"/>
      <c r="J441" s="267"/>
      <c r="K441" s="29"/>
      <c r="L441" s="10">
        <v>1</v>
      </c>
      <c r="M441" s="10"/>
      <c r="N441" s="10">
        <v>2</v>
      </c>
      <c r="O441" s="10">
        <v>1</v>
      </c>
      <c r="P441" s="10"/>
      <c r="Q441" s="10"/>
      <c r="R441" s="10"/>
      <c r="S441" s="10"/>
    </row>
    <row r="442" spans="2:19" ht="31.2" x14ac:dyDescent="0.3">
      <c r="B442" s="7"/>
      <c r="C442" s="15"/>
      <c r="D442" s="260" t="s">
        <v>17</v>
      </c>
      <c r="E442" s="260"/>
      <c r="F442" s="260"/>
      <c r="G442" s="260"/>
      <c r="H442" s="260" t="s">
        <v>9</v>
      </c>
      <c r="I442" s="260"/>
      <c r="J442" s="8"/>
      <c r="K442" s="261" t="s">
        <v>13</v>
      </c>
      <c r="L442" s="262"/>
      <c r="M442" s="261" t="s">
        <v>14</v>
      </c>
      <c r="N442" s="262"/>
      <c r="O442" s="8" t="s">
        <v>15</v>
      </c>
      <c r="P442" s="8" t="s">
        <v>101</v>
      </c>
      <c r="Q442" s="8" t="s">
        <v>103</v>
      </c>
      <c r="R442" s="8" t="s">
        <v>104</v>
      </c>
      <c r="S442" s="8" t="s">
        <v>131</v>
      </c>
    </row>
    <row r="443" spans="2:19" ht="15.6" x14ac:dyDescent="0.3">
      <c r="B443" s="7"/>
      <c r="C443" s="15"/>
      <c r="D443" s="260"/>
      <c r="E443" s="260"/>
      <c r="F443" s="260"/>
      <c r="G443" s="260"/>
      <c r="H443" s="4" t="s">
        <v>7</v>
      </c>
      <c r="I443" s="4" t="s">
        <v>8</v>
      </c>
      <c r="J443" s="3" t="s">
        <v>8</v>
      </c>
      <c r="K443" s="26">
        <v>45901</v>
      </c>
      <c r="L443" s="26">
        <v>45992</v>
      </c>
      <c r="M443" s="26">
        <v>45931</v>
      </c>
      <c r="N443" s="30">
        <v>45992</v>
      </c>
      <c r="O443" s="30">
        <v>45992</v>
      </c>
      <c r="P443" s="30">
        <v>45992</v>
      </c>
      <c r="Q443" s="30"/>
      <c r="R443" s="30"/>
      <c r="S443" s="30"/>
    </row>
    <row r="444" spans="2:19" ht="15.6" x14ac:dyDescent="0.3">
      <c r="B444" s="263">
        <v>54</v>
      </c>
      <c r="C444" s="264" t="s">
        <v>144</v>
      </c>
      <c r="D444" s="265" t="s">
        <v>2</v>
      </c>
      <c r="E444" s="265"/>
      <c r="F444" s="265"/>
      <c r="G444" s="265"/>
      <c r="H444" s="6"/>
      <c r="I444" s="12"/>
      <c r="J444" s="25"/>
      <c r="K444" s="29"/>
      <c r="L444" s="10"/>
      <c r="M444" s="10"/>
      <c r="N444" s="10"/>
      <c r="O444" s="10"/>
      <c r="P444" s="10"/>
      <c r="Q444" s="10"/>
      <c r="R444" s="10"/>
      <c r="S444" s="10"/>
    </row>
    <row r="445" spans="2:19" ht="15.6" x14ac:dyDescent="0.3">
      <c r="B445" s="263"/>
      <c r="C445" s="264"/>
      <c r="D445" s="23" t="s">
        <v>3</v>
      </c>
      <c r="E445" s="23" t="s">
        <v>4</v>
      </c>
      <c r="F445" s="24" t="s">
        <v>5</v>
      </c>
      <c r="G445" s="23" t="s">
        <v>6</v>
      </c>
      <c r="H445" s="27"/>
      <c r="I445" s="266"/>
      <c r="J445" s="267">
        <v>1500</v>
      </c>
      <c r="K445" s="33"/>
      <c r="L445" s="27"/>
      <c r="M445" s="27"/>
      <c r="N445" s="27"/>
      <c r="O445" s="27"/>
      <c r="P445" s="27"/>
      <c r="Q445" s="27"/>
      <c r="R445" s="27"/>
      <c r="S445" s="27"/>
    </row>
    <row r="446" spans="2:19" x14ac:dyDescent="0.3">
      <c r="B446" s="263"/>
      <c r="C446" s="264"/>
      <c r="D446" s="5" t="s">
        <v>193</v>
      </c>
      <c r="E446" s="5"/>
      <c r="F446" s="21"/>
      <c r="G446" s="5"/>
      <c r="H446" s="6"/>
      <c r="I446" s="266"/>
      <c r="J446" s="267"/>
      <c r="K446" s="29"/>
      <c r="L446" s="10"/>
      <c r="M446" s="10"/>
      <c r="N446" s="10"/>
      <c r="O446" s="10"/>
      <c r="P446" s="10"/>
      <c r="Q446" s="10"/>
      <c r="R446" s="10"/>
      <c r="S446" s="10"/>
    </row>
    <row r="447" spans="2:19" ht="15.6" x14ac:dyDescent="0.3">
      <c r="B447" s="263"/>
      <c r="C447" s="264"/>
      <c r="D447" s="265" t="s">
        <v>10</v>
      </c>
      <c r="E447" s="265"/>
      <c r="F447" s="265"/>
      <c r="G447" s="265"/>
      <c r="H447" s="4"/>
      <c r="I447" s="266"/>
      <c r="J447" s="267"/>
      <c r="K447" s="29"/>
      <c r="L447" s="10"/>
      <c r="M447" s="10"/>
      <c r="N447" s="10"/>
      <c r="O447" s="10"/>
      <c r="P447" s="10"/>
      <c r="Q447" s="10"/>
      <c r="R447" s="10"/>
      <c r="S447" s="10"/>
    </row>
    <row r="448" spans="2:19" ht="15.6" x14ac:dyDescent="0.3">
      <c r="B448" s="263"/>
      <c r="C448" s="264"/>
      <c r="D448" s="23" t="s">
        <v>3</v>
      </c>
      <c r="E448" s="23" t="s">
        <v>4</v>
      </c>
      <c r="F448" s="24" t="s">
        <v>5</v>
      </c>
      <c r="G448" s="23" t="s">
        <v>6</v>
      </c>
      <c r="H448" s="27"/>
      <c r="I448" s="266"/>
      <c r="J448" s="267"/>
      <c r="K448" s="33"/>
      <c r="L448" s="27"/>
      <c r="M448" s="27"/>
      <c r="N448" s="27"/>
      <c r="O448" s="27"/>
      <c r="P448" s="27"/>
      <c r="Q448" s="27"/>
      <c r="R448" s="27"/>
      <c r="S448" s="27"/>
    </row>
    <row r="449" spans="2:19" x14ac:dyDescent="0.3">
      <c r="B449" s="263"/>
      <c r="C449" s="264"/>
      <c r="D449" s="5"/>
      <c r="E449" s="5"/>
      <c r="F449" s="21"/>
      <c r="G449" s="5"/>
      <c r="H449" s="6"/>
      <c r="I449" s="266"/>
      <c r="J449" s="267"/>
      <c r="K449" s="29"/>
      <c r="L449" s="10"/>
      <c r="M449" s="10"/>
      <c r="N449" s="10"/>
      <c r="O449" s="10"/>
      <c r="P449" s="10"/>
      <c r="Q449" s="10"/>
      <c r="R449" s="10"/>
      <c r="S449" s="10"/>
    </row>
    <row r="450" spans="2:19" ht="31.2" x14ac:dyDescent="0.3">
      <c r="B450" s="7"/>
      <c r="C450" s="15"/>
      <c r="D450" s="260" t="s">
        <v>17</v>
      </c>
      <c r="E450" s="260"/>
      <c r="F450" s="260"/>
      <c r="G450" s="260"/>
      <c r="H450" s="260" t="s">
        <v>9</v>
      </c>
      <c r="I450" s="260"/>
      <c r="J450" s="8"/>
      <c r="K450" s="261" t="s">
        <v>13</v>
      </c>
      <c r="L450" s="262"/>
      <c r="M450" s="261" t="s">
        <v>14</v>
      </c>
      <c r="N450" s="262"/>
      <c r="O450" s="8" t="s">
        <v>15</v>
      </c>
      <c r="P450" s="8" t="s">
        <v>101</v>
      </c>
      <c r="Q450" s="8" t="s">
        <v>103</v>
      </c>
      <c r="R450" s="8" t="s">
        <v>104</v>
      </c>
      <c r="S450" s="8" t="s">
        <v>131</v>
      </c>
    </row>
    <row r="451" spans="2:19" ht="15.6" x14ac:dyDescent="0.3">
      <c r="B451" s="7"/>
      <c r="C451" s="15"/>
      <c r="D451" s="260"/>
      <c r="E451" s="260"/>
      <c r="F451" s="260"/>
      <c r="G451" s="260"/>
      <c r="H451" s="4" t="s">
        <v>7</v>
      </c>
      <c r="I451" s="4" t="s">
        <v>8</v>
      </c>
      <c r="J451" s="3" t="s">
        <v>8</v>
      </c>
      <c r="K451" s="26">
        <v>45901</v>
      </c>
      <c r="L451" s="26">
        <v>45992</v>
      </c>
      <c r="M451" s="26">
        <v>45931</v>
      </c>
      <c r="N451" s="30">
        <v>45992</v>
      </c>
      <c r="O451" s="30">
        <v>45992</v>
      </c>
      <c r="P451" s="30">
        <v>45992</v>
      </c>
      <c r="Q451" s="30"/>
      <c r="R451" s="30"/>
      <c r="S451" s="30"/>
    </row>
    <row r="452" spans="2:19" ht="15.6" x14ac:dyDescent="0.3">
      <c r="B452" s="263">
        <v>55</v>
      </c>
      <c r="C452" s="264" t="s">
        <v>145</v>
      </c>
      <c r="D452" s="265" t="s">
        <v>2</v>
      </c>
      <c r="E452" s="265"/>
      <c r="F452" s="265"/>
      <c r="G452" s="265"/>
      <c r="H452" s="6"/>
      <c r="I452" s="12"/>
      <c r="J452" s="25"/>
      <c r="K452" s="29"/>
      <c r="L452" s="10"/>
      <c r="M452" s="10"/>
      <c r="N452" s="10"/>
      <c r="O452" s="10"/>
      <c r="P452" s="10"/>
      <c r="Q452" s="10"/>
      <c r="R452" s="10"/>
      <c r="S452" s="10"/>
    </row>
    <row r="453" spans="2:19" ht="15.6" x14ac:dyDescent="0.3">
      <c r="B453" s="263"/>
      <c r="C453" s="264"/>
      <c r="D453" s="23" t="s">
        <v>3</v>
      </c>
      <c r="E453" s="23" t="s">
        <v>4</v>
      </c>
      <c r="F453" s="24" t="s">
        <v>5</v>
      </c>
      <c r="G453" s="23" t="s">
        <v>6</v>
      </c>
      <c r="H453" s="27"/>
      <c r="I453" s="266">
        <v>500</v>
      </c>
      <c r="J453" s="267"/>
      <c r="K453" s="33"/>
      <c r="L453" s="27"/>
      <c r="M453" s="27"/>
      <c r="N453" s="27"/>
      <c r="O453" s="27"/>
      <c r="P453" s="27"/>
      <c r="Q453" s="27"/>
      <c r="R453" s="27"/>
      <c r="S453" s="27"/>
    </row>
    <row r="454" spans="2:19" x14ac:dyDescent="0.3">
      <c r="B454" s="263"/>
      <c r="C454" s="264"/>
      <c r="D454" s="5"/>
      <c r="E454" s="5"/>
      <c r="F454" s="21"/>
      <c r="G454" s="5"/>
      <c r="H454" s="6"/>
      <c r="I454" s="266"/>
      <c r="J454" s="267"/>
      <c r="K454" s="29"/>
      <c r="L454" s="10"/>
      <c r="M454" s="10"/>
      <c r="N454" s="10"/>
      <c r="O454" s="10"/>
      <c r="P454" s="10"/>
      <c r="Q454" s="10"/>
      <c r="R454" s="10"/>
      <c r="S454" s="10"/>
    </row>
    <row r="455" spans="2:19" ht="15.6" x14ac:dyDescent="0.3">
      <c r="B455" s="263"/>
      <c r="C455" s="264"/>
      <c r="D455" s="265" t="s">
        <v>10</v>
      </c>
      <c r="E455" s="265"/>
      <c r="F455" s="265"/>
      <c r="G455" s="265"/>
      <c r="H455" s="4"/>
      <c r="I455" s="266"/>
      <c r="J455" s="267"/>
      <c r="K455" s="29"/>
      <c r="L455" s="10"/>
      <c r="M455" s="10"/>
      <c r="N455" s="10"/>
      <c r="O455" s="10"/>
      <c r="P455" s="10"/>
      <c r="Q455" s="10"/>
      <c r="R455" s="10"/>
      <c r="S455" s="10"/>
    </row>
    <row r="456" spans="2:19" ht="15.6" x14ac:dyDescent="0.3">
      <c r="B456" s="263"/>
      <c r="C456" s="264"/>
      <c r="D456" s="23" t="s">
        <v>3</v>
      </c>
      <c r="E456" s="23" t="s">
        <v>4</v>
      </c>
      <c r="F456" s="24" t="s">
        <v>5</v>
      </c>
      <c r="G456" s="23" t="s">
        <v>6</v>
      </c>
      <c r="H456" s="27"/>
      <c r="I456" s="266"/>
      <c r="J456" s="267"/>
      <c r="K456" s="33"/>
      <c r="L456" s="27"/>
      <c r="M456" s="27"/>
      <c r="N456" s="27"/>
      <c r="O456" s="27"/>
      <c r="P456" s="27"/>
      <c r="Q456" s="27"/>
      <c r="R456" s="27"/>
      <c r="S456" s="27"/>
    </row>
    <row r="457" spans="2:19" x14ac:dyDescent="0.3">
      <c r="B457" s="263"/>
      <c r="C457" s="264"/>
      <c r="D457" s="5"/>
      <c r="E457" s="5"/>
      <c r="F457" s="21"/>
      <c r="G457" s="5"/>
      <c r="H457" s="6"/>
      <c r="I457" s="266"/>
      <c r="J457" s="267"/>
      <c r="K457" s="29"/>
      <c r="L457" s="10"/>
      <c r="M457" s="10"/>
      <c r="N457" s="10"/>
      <c r="O457" s="10"/>
      <c r="P457" s="10"/>
      <c r="Q457" s="10"/>
      <c r="R457" s="10"/>
      <c r="S457" s="10"/>
    </row>
    <row r="458" spans="2:19" ht="31.2" x14ac:dyDescent="0.3">
      <c r="B458" s="7"/>
      <c r="C458" s="15"/>
      <c r="D458" s="260" t="s">
        <v>17</v>
      </c>
      <c r="E458" s="260"/>
      <c r="F458" s="260"/>
      <c r="G458" s="260"/>
      <c r="H458" s="260" t="s">
        <v>9</v>
      </c>
      <c r="I458" s="260"/>
      <c r="J458" s="8"/>
      <c r="K458" s="261" t="s">
        <v>13</v>
      </c>
      <c r="L458" s="262"/>
      <c r="M458" s="261" t="s">
        <v>14</v>
      </c>
      <c r="N458" s="262"/>
      <c r="O458" s="8" t="s">
        <v>15</v>
      </c>
      <c r="P458" s="8" t="s">
        <v>101</v>
      </c>
      <c r="Q458" s="8" t="s">
        <v>103</v>
      </c>
      <c r="R458" s="8" t="s">
        <v>104</v>
      </c>
      <c r="S458" s="8" t="s">
        <v>131</v>
      </c>
    </row>
    <row r="459" spans="2:19" ht="15.6" x14ac:dyDescent="0.3">
      <c r="B459" s="7"/>
      <c r="C459" s="15"/>
      <c r="D459" s="260"/>
      <c r="E459" s="260"/>
      <c r="F459" s="260"/>
      <c r="G459" s="260"/>
      <c r="H459" s="4" t="s">
        <v>7</v>
      </c>
      <c r="I459" s="4" t="s">
        <v>8</v>
      </c>
      <c r="J459" s="3" t="s">
        <v>8</v>
      </c>
      <c r="K459" s="26">
        <v>45901</v>
      </c>
      <c r="L459" s="26">
        <v>45992</v>
      </c>
      <c r="M459" s="26">
        <v>45931</v>
      </c>
      <c r="N459" s="30">
        <v>45992</v>
      </c>
      <c r="O459" s="30">
        <v>45992</v>
      </c>
      <c r="P459" s="30">
        <v>45992</v>
      </c>
      <c r="Q459" s="30"/>
      <c r="R459" s="30"/>
      <c r="S459" s="30"/>
    </row>
    <row r="460" spans="2:19" ht="15.6" x14ac:dyDescent="0.3">
      <c r="B460" s="263">
        <v>56</v>
      </c>
      <c r="C460" s="264"/>
      <c r="D460" s="265" t="s">
        <v>2</v>
      </c>
      <c r="E460" s="265"/>
      <c r="F460" s="265"/>
      <c r="G460" s="265"/>
      <c r="H460" s="6"/>
      <c r="I460" s="12"/>
      <c r="J460" s="25"/>
      <c r="K460" s="29"/>
      <c r="L460" s="10"/>
      <c r="M460" s="10"/>
      <c r="N460" s="10"/>
      <c r="O460" s="10"/>
      <c r="P460" s="10"/>
      <c r="Q460" s="10"/>
      <c r="R460" s="10"/>
      <c r="S460" s="10"/>
    </row>
    <row r="461" spans="2:19" ht="15.6" x14ac:dyDescent="0.3">
      <c r="B461" s="263"/>
      <c r="C461" s="264"/>
      <c r="D461" s="23" t="s">
        <v>3</v>
      </c>
      <c r="E461" s="23" t="s">
        <v>4</v>
      </c>
      <c r="F461" s="24" t="s">
        <v>5</v>
      </c>
      <c r="G461" s="23" t="s">
        <v>6</v>
      </c>
      <c r="H461" s="27"/>
      <c r="I461" s="266"/>
      <c r="J461" s="267"/>
      <c r="K461" s="33"/>
      <c r="L461" s="27"/>
      <c r="M461" s="27"/>
      <c r="N461" s="27"/>
      <c r="O461" s="27"/>
      <c r="P461" s="27"/>
      <c r="Q461" s="27"/>
      <c r="R461" s="27"/>
      <c r="S461" s="27"/>
    </row>
    <row r="462" spans="2:19" x14ac:dyDescent="0.3">
      <c r="B462" s="263"/>
      <c r="C462" s="264"/>
      <c r="D462" s="5"/>
      <c r="E462" s="5"/>
      <c r="F462" s="21"/>
      <c r="G462" s="5"/>
      <c r="H462" s="6"/>
      <c r="I462" s="266"/>
      <c r="J462" s="267"/>
      <c r="K462" s="29"/>
      <c r="L462" s="10"/>
      <c r="M462" s="10"/>
      <c r="N462" s="10"/>
      <c r="O462" s="10"/>
      <c r="P462" s="10"/>
      <c r="Q462" s="10"/>
      <c r="R462" s="10"/>
      <c r="S462" s="10"/>
    </row>
    <row r="463" spans="2:19" ht="15.6" x14ac:dyDescent="0.3">
      <c r="B463" s="263"/>
      <c r="C463" s="264"/>
      <c r="D463" s="265" t="s">
        <v>10</v>
      </c>
      <c r="E463" s="265"/>
      <c r="F463" s="265"/>
      <c r="G463" s="265"/>
      <c r="H463" s="4"/>
      <c r="I463" s="266"/>
      <c r="J463" s="267"/>
      <c r="K463" s="29"/>
      <c r="L463" s="10"/>
      <c r="M463" s="10"/>
      <c r="N463" s="10"/>
      <c r="O463" s="10"/>
      <c r="P463" s="10"/>
      <c r="Q463" s="10"/>
      <c r="R463" s="10"/>
      <c r="S463" s="10"/>
    </row>
    <row r="464" spans="2:19" ht="15.6" x14ac:dyDescent="0.3">
      <c r="B464" s="263"/>
      <c r="C464" s="264"/>
      <c r="D464" s="23" t="s">
        <v>3</v>
      </c>
      <c r="E464" s="23" t="s">
        <v>4</v>
      </c>
      <c r="F464" s="24" t="s">
        <v>5</v>
      </c>
      <c r="G464" s="23" t="s">
        <v>6</v>
      </c>
      <c r="H464" s="27"/>
      <c r="I464" s="266"/>
      <c r="J464" s="267"/>
      <c r="K464" s="33"/>
      <c r="L464" s="27"/>
      <c r="M464" s="27"/>
      <c r="N464" s="27"/>
      <c r="O464" s="27"/>
      <c r="P464" s="27"/>
      <c r="Q464" s="27"/>
      <c r="R464" s="27"/>
      <c r="S464" s="27"/>
    </row>
    <row r="465" spans="2:19" x14ac:dyDescent="0.3">
      <c r="B465" s="263"/>
      <c r="C465" s="264"/>
      <c r="D465" s="5"/>
      <c r="E465" s="5"/>
      <c r="F465" s="21"/>
      <c r="G465" s="5"/>
      <c r="H465" s="6"/>
      <c r="I465" s="266"/>
      <c r="J465" s="267"/>
      <c r="K465" s="29"/>
      <c r="L465" s="10"/>
      <c r="M465" s="10"/>
      <c r="N465" s="10"/>
      <c r="O465" s="10"/>
      <c r="P465" s="10"/>
      <c r="Q465" s="10"/>
      <c r="R465" s="10"/>
      <c r="S465" s="10"/>
    </row>
    <row r="466" spans="2:19" ht="15.6" thickBot="1" x14ac:dyDescent="0.35"/>
    <row r="467" spans="2:19" ht="18" thickBot="1" x14ac:dyDescent="0.35">
      <c r="K467" s="257">
        <v>80</v>
      </c>
      <c r="L467" s="258"/>
      <c r="M467" s="258">
        <v>102</v>
      </c>
      <c r="N467" s="258"/>
      <c r="O467" s="258">
        <v>52</v>
      </c>
      <c r="P467" s="259"/>
    </row>
  </sheetData>
  <mergeCells count="520">
    <mergeCell ref="D434:G435"/>
    <mergeCell ref="H434:I434"/>
    <mergeCell ref="K434:L434"/>
    <mergeCell ref="M434:N434"/>
    <mergeCell ref="B436:B441"/>
    <mergeCell ref="C436:C441"/>
    <mergeCell ref="D436:G436"/>
    <mergeCell ref="I437:I441"/>
    <mergeCell ref="J437:J441"/>
    <mergeCell ref="D439:G439"/>
    <mergeCell ref="D426:G427"/>
    <mergeCell ref="H426:I426"/>
    <mergeCell ref="K426:L426"/>
    <mergeCell ref="M426:N426"/>
    <mergeCell ref="B428:B433"/>
    <mergeCell ref="C428:C433"/>
    <mergeCell ref="D428:G428"/>
    <mergeCell ref="I429:I433"/>
    <mergeCell ref="J429:J433"/>
    <mergeCell ref="D431:G431"/>
    <mergeCell ref="D418:G419"/>
    <mergeCell ref="H418:I418"/>
    <mergeCell ref="K418:L418"/>
    <mergeCell ref="M418:N418"/>
    <mergeCell ref="B420:B425"/>
    <mergeCell ref="C420:C425"/>
    <mergeCell ref="D420:G420"/>
    <mergeCell ref="I421:I425"/>
    <mergeCell ref="J421:J425"/>
    <mergeCell ref="D423:G423"/>
    <mergeCell ref="D410:G411"/>
    <mergeCell ref="H410:I410"/>
    <mergeCell ref="K410:L410"/>
    <mergeCell ref="M410:N410"/>
    <mergeCell ref="B412:B417"/>
    <mergeCell ref="C412:C417"/>
    <mergeCell ref="D412:G412"/>
    <mergeCell ref="I413:I417"/>
    <mergeCell ref="J413:J417"/>
    <mergeCell ref="D415:G415"/>
    <mergeCell ref="D402:G403"/>
    <mergeCell ref="H402:I402"/>
    <mergeCell ref="K402:L402"/>
    <mergeCell ref="M402:N402"/>
    <mergeCell ref="B404:B409"/>
    <mergeCell ref="C404:C409"/>
    <mergeCell ref="D404:G404"/>
    <mergeCell ref="I405:I409"/>
    <mergeCell ref="J405:J409"/>
    <mergeCell ref="D407:G407"/>
    <mergeCell ref="D394:G395"/>
    <mergeCell ref="H394:I394"/>
    <mergeCell ref="K394:L394"/>
    <mergeCell ref="M394:N394"/>
    <mergeCell ref="B396:B401"/>
    <mergeCell ref="C396:C401"/>
    <mergeCell ref="D396:G396"/>
    <mergeCell ref="I397:I401"/>
    <mergeCell ref="J397:J401"/>
    <mergeCell ref="D399:G399"/>
    <mergeCell ref="D34:G35"/>
    <mergeCell ref="H34:I34"/>
    <mergeCell ref="B18:B33"/>
    <mergeCell ref="C18:C33"/>
    <mergeCell ref="H2:I2"/>
    <mergeCell ref="I4:I15"/>
    <mergeCell ref="J4:J15"/>
    <mergeCell ref="B4:B15"/>
    <mergeCell ref="C4:C15"/>
    <mergeCell ref="D7:G7"/>
    <mergeCell ref="D10:G10"/>
    <mergeCell ref="D4:G4"/>
    <mergeCell ref="C2:C3"/>
    <mergeCell ref="B2:B3"/>
    <mergeCell ref="D2:G3"/>
    <mergeCell ref="D13:G13"/>
    <mergeCell ref="D18:G18"/>
    <mergeCell ref="D21:G21"/>
    <mergeCell ref="D16:G17"/>
    <mergeCell ref="D24:G24"/>
    <mergeCell ref="D27:G27"/>
    <mergeCell ref="D30:G30"/>
    <mergeCell ref="B50:B61"/>
    <mergeCell ref="C50:C61"/>
    <mergeCell ref="B36:B47"/>
    <mergeCell ref="D50:G50"/>
    <mergeCell ref="D53:G53"/>
    <mergeCell ref="D56:G56"/>
    <mergeCell ref="D59:G59"/>
    <mergeCell ref="D64:G64"/>
    <mergeCell ref="D67:G67"/>
    <mergeCell ref="D62:G63"/>
    <mergeCell ref="D36:G36"/>
    <mergeCell ref="D39:G39"/>
    <mergeCell ref="D42:G42"/>
    <mergeCell ref="D45:G45"/>
    <mergeCell ref="D48:G49"/>
    <mergeCell ref="C36:C47"/>
    <mergeCell ref="B81:B92"/>
    <mergeCell ref="C81:C92"/>
    <mergeCell ref="B64:B78"/>
    <mergeCell ref="C64:C78"/>
    <mergeCell ref="D79:G80"/>
    <mergeCell ref="B127:B135"/>
    <mergeCell ref="C127:C135"/>
    <mergeCell ref="B119:B124"/>
    <mergeCell ref="C119:C124"/>
    <mergeCell ref="B111:B116"/>
    <mergeCell ref="C111:C116"/>
    <mergeCell ref="B103:B108"/>
    <mergeCell ref="C103:C108"/>
    <mergeCell ref="B95:B100"/>
    <mergeCell ref="C95:C100"/>
    <mergeCell ref="D119:G119"/>
    <mergeCell ref="D122:G122"/>
    <mergeCell ref="D127:G127"/>
    <mergeCell ref="D130:G130"/>
    <mergeCell ref="D106:G106"/>
    <mergeCell ref="D101:G102"/>
    <mergeCell ref="D93:G94"/>
    <mergeCell ref="D95:G95"/>
    <mergeCell ref="D98:G98"/>
    <mergeCell ref="B146:B151"/>
    <mergeCell ref="C146:C151"/>
    <mergeCell ref="D146:G146"/>
    <mergeCell ref="D149:G149"/>
    <mergeCell ref="B138:B143"/>
    <mergeCell ref="C138:C143"/>
    <mergeCell ref="D138:G138"/>
    <mergeCell ref="D117:G118"/>
    <mergeCell ref="D109:G110"/>
    <mergeCell ref="D133:G133"/>
    <mergeCell ref="D141:G141"/>
    <mergeCell ref="D144:G145"/>
    <mergeCell ref="D136:G137"/>
    <mergeCell ref="D125:G126"/>
    <mergeCell ref="D111:G111"/>
    <mergeCell ref="D114:G114"/>
    <mergeCell ref="B165:B167"/>
    <mergeCell ref="C165:C167"/>
    <mergeCell ref="D165:G165"/>
    <mergeCell ref="B154:B162"/>
    <mergeCell ref="C154:C162"/>
    <mergeCell ref="D154:G154"/>
    <mergeCell ref="D157:G157"/>
    <mergeCell ref="D160:G160"/>
    <mergeCell ref="D163:G164"/>
    <mergeCell ref="B186:B191"/>
    <mergeCell ref="C186:C191"/>
    <mergeCell ref="D186:G186"/>
    <mergeCell ref="D189:G189"/>
    <mergeCell ref="D200:G201"/>
    <mergeCell ref="B178:B183"/>
    <mergeCell ref="C178:C183"/>
    <mergeCell ref="D178:G178"/>
    <mergeCell ref="B170:B175"/>
    <mergeCell ref="C170:C175"/>
    <mergeCell ref="D170:G170"/>
    <mergeCell ref="D192:G193"/>
    <mergeCell ref="D173:G173"/>
    <mergeCell ref="D181:G181"/>
    <mergeCell ref="B210:B212"/>
    <mergeCell ref="C210:C212"/>
    <mergeCell ref="D210:G210"/>
    <mergeCell ref="B202:B207"/>
    <mergeCell ref="C202:C207"/>
    <mergeCell ref="D202:G202"/>
    <mergeCell ref="D205:G205"/>
    <mergeCell ref="B194:B199"/>
    <mergeCell ref="C194:C199"/>
    <mergeCell ref="D194:G194"/>
    <mergeCell ref="D197:G197"/>
    <mergeCell ref="D208:G209"/>
    <mergeCell ref="B227:B232"/>
    <mergeCell ref="C227:C232"/>
    <mergeCell ref="D227:G227"/>
    <mergeCell ref="D230:G230"/>
    <mergeCell ref="B215:B224"/>
    <mergeCell ref="C215:C224"/>
    <mergeCell ref="D215:G215"/>
    <mergeCell ref="D218:G218"/>
    <mergeCell ref="D221:G221"/>
    <mergeCell ref="D224:G224"/>
    <mergeCell ref="D225:G226"/>
    <mergeCell ref="B252:B257"/>
    <mergeCell ref="C252:C257"/>
    <mergeCell ref="D252:G252"/>
    <mergeCell ref="D255:G255"/>
    <mergeCell ref="B235:B249"/>
    <mergeCell ref="C235:C249"/>
    <mergeCell ref="D235:G235"/>
    <mergeCell ref="D238:G238"/>
    <mergeCell ref="D241:G241"/>
    <mergeCell ref="D247:G247"/>
    <mergeCell ref="B268:B273"/>
    <mergeCell ref="C268:C273"/>
    <mergeCell ref="D268:G268"/>
    <mergeCell ref="D271:G271"/>
    <mergeCell ref="B260:B265"/>
    <mergeCell ref="C260:C265"/>
    <mergeCell ref="D260:G260"/>
    <mergeCell ref="D263:G263"/>
    <mergeCell ref="B281:B292"/>
    <mergeCell ref="C281:C292"/>
    <mergeCell ref="D281:G281"/>
    <mergeCell ref="D284:G284"/>
    <mergeCell ref="D287:G287"/>
    <mergeCell ref="B276:B278"/>
    <mergeCell ref="D276:G276"/>
    <mergeCell ref="B364:B369"/>
    <mergeCell ref="C364:C369"/>
    <mergeCell ref="D364:G364"/>
    <mergeCell ref="D367:G367"/>
    <mergeCell ref="B356:B361"/>
    <mergeCell ref="C356:C361"/>
    <mergeCell ref="D356:G356"/>
    <mergeCell ref="D359:G359"/>
    <mergeCell ref="B348:B353"/>
    <mergeCell ref="C348:C353"/>
    <mergeCell ref="D348:G348"/>
    <mergeCell ref="D351:G351"/>
    <mergeCell ref="D362:G363"/>
    <mergeCell ref="D354:G355"/>
    <mergeCell ref="D346:G347"/>
    <mergeCell ref="B309:B314"/>
    <mergeCell ref="C309:C314"/>
    <mergeCell ref="C276:C278"/>
    <mergeCell ref="B340:B345"/>
    <mergeCell ref="C340:C345"/>
    <mergeCell ref="D340:G340"/>
    <mergeCell ref="D343:G343"/>
    <mergeCell ref="B295:B306"/>
    <mergeCell ref="C295:C306"/>
    <mergeCell ref="D295:G295"/>
    <mergeCell ref="D326:G326"/>
    <mergeCell ref="D329:G329"/>
    <mergeCell ref="D332:G332"/>
    <mergeCell ref="D335:G335"/>
    <mergeCell ref="B317:B323"/>
    <mergeCell ref="C317:C323"/>
    <mergeCell ref="D317:G317"/>
    <mergeCell ref="D320:G320"/>
    <mergeCell ref="D323:G323"/>
    <mergeCell ref="D315:G316"/>
    <mergeCell ref="D293:G294"/>
    <mergeCell ref="D307:G308"/>
    <mergeCell ref="D290:G290"/>
    <mergeCell ref="D103:G103"/>
    <mergeCell ref="I64:I78"/>
    <mergeCell ref="J64:J78"/>
    <mergeCell ref="D70:G70"/>
    <mergeCell ref="D76:G76"/>
    <mergeCell ref="D81:G81"/>
    <mergeCell ref="D84:G84"/>
    <mergeCell ref="D87:G87"/>
    <mergeCell ref="D90:G90"/>
    <mergeCell ref="I81:I92"/>
    <mergeCell ref="J81:J92"/>
    <mergeCell ref="D73:G73"/>
    <mergeCell ref="D301:G301"/>
    <mergeCell ref="D304:G304"/>
    <mergeCell ref="H279:I279"/>
    <mergeCell ref="I277:I278"/>
    <mergeCell ref="D244:G244"/>
    <mergeCell ref="I260:I265"/>
    <mergeCell ref="D152:G153"/>
    <mergeCell ref="H152:I152"/>
    <mergeCell ref="H163:I163"/>
    <mergeCell ref="I154:I162"/>
    <mergeCell ref="D168:G169"/>
    <mergeCell ref="H168:I168"/>
    <mergeCell ref="I165:I167"/>
    <mergeCell ref="I202:I207"/>
    <mergeCell ref="H192:I192"/>
    <mergeCell ref="I170:I175"/>
    <mergeCell ref="K79:L79"/>
    <mergeCell ref="M79:N79"/>
    <mergeCell ref="J138:J143"/>
    <mergeCell ref="H117:I117"/>
    <mergeCell ref="K117:L117"/>
    <mergeCell ref="M117:N117"/>
    <mergeCell ref="J165:J167"/>
    <mergeCell ref="I119:I124"/>
    <mergeCell ref="J119:J124"/>
    <mergeCell ref="I127:I135"/>
    <mergeCell ref="J127:J135"/>
    <mergeCell ref="I146:I151"/>
    <mergeCell ref="J146:J151"/>
    <mergeCell ref="M144:N144"/>
    <mergeCell ref="K136:L136"/>
    <mergeCell ref="M136:N136"/>
    <mergeCell ref="J95:J100"/>
    <mergeCell ref="I103:I108"/>
    <mergeCell ref="J103:J108"/>
    <mergeCell ref="H125:I125"/>
    <mergeCell ref="H109:I109"/>
    <mergeCell ref="J154:J162"/>
    <mergeCell ref="K125:L125"/>
    <mergeCell ref="H93:I93"/>
    <mergeCell ref="H48:I48"/>
    <mergeCell ref="H79:I79"/>
    <mergeCell ref="K62:L62"/>
    <mergeCell ref="M62:N62"/>
    <mergeCell ref="D338:G339"/>
    <mergeCell ref="H338:I338"/>
    <mergeCell ref="D324:G325"/>
    <mergeCell ref="H324:I324"/>
    <mergeCell ref="J252:J257"/>
    <mergeCell ref="D233:G234"/>
    <mergeCell ref="H233:I233"/>
    <mergeCell ref="D213:G214"/>
    <mergeCell ref="H213:I213"/>
    <mergeCell ref="K93:L93"/>
    <mergeCell ref="J215:J224"/>
    <mergeCell ref="I227:I232"/>
    <mergeCell ref="J227:J232"/>
    <mergeCell ref="I235:I249"/>
    <mergeCell ref="J235:J249"/>
    <mergeCell ref="J202:J207"/>
    <mergeCell ref="I194:I199"/>
    <mergeCell ref="H200:I200"/>
    <mergeCell ref="J194:J199"/>
    <mergeCell ref="M93:N93"/>
    <mergeCell ref="M2:N2"/>
    <mergeCell ref="M16:N16"/>
    <mergeCell ref="I18:I33"/>
    <mergeCell ref="J18:J33"/>
    <mergeCell ref="I36:I47"/>
    <mergeCell ref="J36:J47"/>
    <mergeCell ref="H101:I101"/>
    <mergeCell ref="H16:I16"/>
    <mergeCell ref="I111:I116"/>
    <mergeCell ref="J111:J116"/>
    <mergeCell ref="I95:I100"/>
    <mergeCell ref="K109:L109"/>
    <mergeCell ref="M109:N109"/>
    <mergeCell ref="K101:L101"/>
    <mergeCell ref="M101:N101"/>
    <mergeCell ref="M48:N48"/>
    <mergeCell ref="M34:N34"/>
    <mergeCell ref="K16:L16"/>
    <mergeCell ref="K2:L2"/>
    <mergeCell ref="K48:L48"/>
    <mergeCell ref="K34:L34"/>
    <mergeCell ref="I50:I61"/>
    <mergeCell ref="J50:J61"/>
    <mergeCell ref="H62:I62"/>
    <mergeCell ref="M125:N125"/>
    <mergeCell ref="K144:L144"/>
    <mergeCell ref="H136:I136"/>
    <mergeCell ref="I138:I143"/>
    <mergeCell ref="J210:J212"/>
    <mergeCell ref="I310:I314"/>
    <mergeCell ref="J310:J314"/>
    <mergeCell ref="K266:L266"/>
    <mergeCell ref="K274:L274"/>
    <mergeCell ref="M274:N274"/>
    <mergeCell ref="K279:L279"/>
    <mergeCell ref="M279:N279"/>
    <mergeCell ref="K293:L293"/>
    <mergeCell ref="M293:N293"/>
    <mergeCell ref="H266:I266"/>
    <mergeCell ref="K250:L250"/>
    <mergeCell ref="M250:N250"/>
    <mergeCell ref="M258:N258"/>
    <mergeCell ref="K258:L258"/>
    <mergeCell ref="M266:N266"/>
    <mergeCell ref="J295:J306"/>
    <mergeCell ref="H184:I184"/>
    <mergeCell ref="H144:I144"/>
    <mergeCell ref="H274:I274"/>
    <mergeCell ref="J170:J175"/>
    <mergeCell ref="I178:I183"/>
    <mergeCell ref="J178:J183"/>
    <mergeCell ref="I186:I191"/>
    <mergeCell ref="J186:J191"/>
    <mergeCell ref="D176:G177"/>
    <mergeCell ref="H176:I176"/>
    <mergeCell ref="D184:G185"/>
    <mergeCell ref="I349:I353"/>
    <mergeCell ref="J349:J353"/>
    <mergeCell ref="J260:J265"/>
    <mergeCell ref="D274:G275"/>
    <mergeCell ref="D279:G280"/>
    <mergeCell ref="D266:G267"/>
    <mergeCell ref="D250:G251"/>
    <mergeCell ref="H250:I250"/>
    <mergeCell ref="D258:G259"/>
    <mergeCell ref="H258:I258"/>
    <mergeCell ref="H208:I208"/>
    <mergeCell ref="I252:I257"/>
    <mergeCell ref="I210:I212"/>
    <mergeCell ref="H225:I225"/>
    <mergeCell ref="I215:I224"/>
    <mergeCell ref="D298:G298"/>
    <mergeCell ref="I357:I361"/>
    <mergeCell ref="J357:J361"/>
    <mergeCell ref="J282:J292"/>
    <mergeCell ref="I269:I273"/>
    <mergeCell ref="J269:J273"/>
    <mergeCell ref="J277:J278"/>
    <mergeCell ref="H362:I362"/>
    <mergeCell ref="H354:I354"/>
    <mergeCell ref="H315:I315"/>
    <mergeCell ref="I341:I345"/>
    <mergeCell ref="J341:J345"/>
    <mergeCell ref="I318:I323"/>
    <mergeCell ref="J318:J323"/>
    <mergeCell ref="I327:I337"/>
    <mergeCell ref="J327:J337"/>
    <mergeCell ref="H293:I293"/>
    <mergeCell ref="H307:I307"/>
    <mergeCell ref="I295:I306"/>
    <mergeCell ref="I282:I292"/>
    <mergeCell ref="K307:L307"/>
    <mergeCell ref="M307:N307"/>
    <mergeCell ref="K315:L315"/>
    <mergeCell ref="M315:N315"/>
    <mergeCell ref="I365:I369"/>
    <mergeCell ref="B372:B377"/>
    <mergeCell ref="C372:C377"/>
    <mergeCell ref="D372:G372"/>
    <mergeCell ref="I373:I377"/>
    <mergeCell ref="J373:J377"/>
    <mergeCell ref="D375:G375"/>
    <mergeCell ref="J365:J369"/>
    <mergeCell ref="M338:N338"/>
    <mergeCell ref="K346:L346"/>
    <mergeCell ref="M346:N346"/>
    <mergeCell ref="K354:L354"/>
    <mergeCell ref="M354:N354"/>
    <mergeCell ref="K324:L324"/>
    <mergeCell ref="M324:N324"/>
    <mergeCell ref="H346:I346"/>
    <mergeCell ref="D309:G309"/>
    <mergeCell ref="D312:G312"/>
    <mergeCell ref="B326:B337"/>
    <mergeCell ref="C326:C337"/>
    <mergeCell ref="K163:L163"/>
    <mergeCell ref="M163:N163"/>
    <mergeCell ref="K152:L152"/>
    <mergeCell ref="M152:N152"/>
    <mergeCell ref="M176:N176"/>
    <mergeCell ref="K200:L200"/>
    <mergeCell ref="M200:N200"/>
    <mergeCell ref="K192:L192"/>
    <mergeCell ref="M192:N192"/>
    <mergeCell ref="K184:L184"/>
    <mergeCell ref="M184:N184"/>
    <mergeCell ref="K386:L386"/>
    <mergeCell ref="M386:N386"/>
    <mergeCell ref="D370:G371"/>
    <mergeCell ref="H370:I370"/>
    <mergeCell ref="K370:L370"/>
    <mergeCell ref="M370:N370"/>
    <mergeCell ref="K168:L168"/>
    <mergeCell ref="M168:N168"/>
    <mergeCell ref="K176:L176"/>
    <mergeCell ref="K213:L213"/>
    <mergeCell ref="M213:N213"/>
    <mergeCell ref="M208:N208"/>
    <mergeCell ref="K208:L208"/>
    <mergeCell ref="K362:L362"/>
    <mergeCell ref="M362:N362"/>
    <mergeCell ref="K233:L233"/>
    <mergeCell ref="M233:N233"/>
    <mergeCell ref="K338:L338"/>
    <mergeCell ref="D378:G379"/>
    <mergeCell ref="H378:I378"/>
    <mergeCell ref="K378:L378"/>
    <mergeCell ref="M378:N378"/>
    <mergeCell ref="K225:L225"/>
    <mergeCell ref="M225:N225"/>
    <mergeCell ref="B388:B393"/>
    <mergeCell ref="C388:C393"/>
    <mergeCell ref="D388:G388"/>
    <mergeCell ref="I389:I393"/>
    <mergeCell ref="J389:J393"/>
    <mergeCell ref="D391:G391"/>
    <mergeCell ref="B380:B385"/>
    <mergeCell ref="C380:C385"/>
    <mergeCell ref="D380:G380"/>
    <mergeCell ref="I381:I385"/>
    <mergeCell ref="J381:J385"/>
    <mergeCell ref="D383:G383"/>
    <mergeCell ref="D386:G387"/>
    <mergeCell ref="H386:I386"/>
    <mergeCell ref="D442:G443"/>
    <mergeCell ref="H442:I442"/>
    <mergeCell ref="K442:L442"/>
    <mergeCell ref="M442:N442"/>
    <mergeCell ref="B444:B449"/>
    <mergeCell ref="C444:C449"/>
    <mergeCell ref="D444:G444"/>
    <mergeCell ref="I445:I449"/>
    <mergeCell ref="J445:J449"/>
    <mergeCell ref="D447:G447"/>
    <mergeCell ref="D450:G451"/>
    <mergeCell ref="H450:I450"/>
    <mergeCell ref="K450:L450"/>
    <mergeCell ref="M450:N450"/>
    <mergeCell ref="B452:B457"/>
    <mergeCell ref="C452:C457"/>
    <mergeCell ref="D452:G452"/>
    <mergeCell ref="I453:I457"/>
    <mergeCell ref="J453:J457"/>
    <mergeCell ref="D455:G455"/>
    <mergeCell ref="K467:L467"/>
    <mergeCell ref="M467:N467"/>
    <mergeCell ref="O467:P467"/>
    <mergeCell ref="D458:G459"/>
    <mergeCell ref="H458:I458"/>
    <mergeCell ref="K458:L458"/>
    <mergeCell ref="M458:N458"/>
    <mergeCell ref="B460:B465"/>
    <mergeCell ref="C460:C465"/>
    <mergeCell ref="D460:G460"/>
    <mergeCell ref="I461:I465"/>
    <mergeCell ref="J461:J465"/>
    <mergeCell ref="D463:G46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47E4-0171-426B-AF45-1E69BD9B3105}">
  <dimension ref="A1:Q82"/>
  <sheetViews>
    <sheetView topLeftCell="A24" zoomScale="80" zoomScaleNormal="80" workbookViewId="0">
      <selection activeCell="E55" sqref="E55"/>
    </sheetView>
  </sheetViews>
  <sheetFormatPr defaultRowHeight="14.4" x14ac:dyDescent="0.3"/>
  <cols>
    <col min="1" max="1" width="8.88671875" style="83"/>
    <col min="2" max="2" width="66.5546875" style="83" customWidth="1"/>
    <col min="3" max="3" width="11.109375" style="84" customWidth="1"/>
    <col min="4" max="4" width="9.109375" style="84" customWidth="1"/>
    <col min="5" max="5" width="21.88671875" style="83" customWidth="1"/>
    <col min="6" max="6" width="20" style="83" customWidth="1"/>
    <col min="7" max="7" width="21" style="83" customWidth="1"/>
    <col min="8" max="16" width="8.88671875" style="84" customWidth="1"/>
    <col min="17" max="17" width="17.33203125" style="84" customWidth="1"/>
    <col min="18" max="16384" width="8.88671875" style="83"/>
  </cols>
  <sheetData>
    <row r="1" spans="1:17" s="82" customFormat="1" ht="26.4" customHeight="1" x14ac:dyDescent="0.3">
      <c r="A1" s="247" t="s">
        <v>614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</row>
    <row r="2" spans="1:17" s="82" customFormat="1" ht="17.399999999999999" customHeight="1" x14ac:dyDescent="0.3">
      <c r="A2" s="244" t="s">
        <v>0</v>
      </c>
      <c r="B2" s="234" t="s">
        <v>3</v>
      </c>
      <c r="C2" s="229" t="s">
        <v>8</v>
      </c>
      <c r="D2" s="229" t="s">
        <v>5</v>
      </c>
      <c r="E2" s="234" t="s">
        <v>1</v>
      </c>
      <c r="F2" s="236" t="s">
        <v>389</v>
      </c>
      <c r="G2" s="236" t="s">
        <v>613</v>
      </c>
      <c r="H2" s="249" t="s">
        <v>381</v>
      </c>
      <c r="I2" s="249"/>
      <c r="J2" s="249"/>
      <c r="K2" s="249"/>
      <c r="L2" s="249"/>
      <c r="M2" s="249"/>
      <c r="N2" s="249"/>
      <c r="O2" s="249"/>
      <c r="P2" s="249"/>
      <c r="Q2" s="236" t="s">
        <v>434</v>
      </c>
    </row>
    <row r="3" spans="1:17" s="82" customFormat="1" ht="51.6" customHeight="1" x14ac:dyDescent="0.3">
      <c r="A3" s="244"/>
      <c r="B3" s="234"/>
      <c r="C3" s="230"/>
      <c r="D3" s="230"/>
      <c r="E3" s="234"/>
      <c r="F3" s="237"/>
      <c r="G3" s="237"/>
      <c r="H3" s="89" t="s">
        <v>374</v>
      </c>
      <c r="I3" s="89" t="s">
        <v>375</v>
      </c>
      <c r="J3" s="89" t="s">
        <v>376</v>
      </c>
      <c r="K3" s="89" t="s">
        <v>377</v>
      </c>
      <c r="L3" s="89" t="s">
        <v>378</v>
      </c>
      <c r="M3" s="89" t="s">
        <v>379</v>
      </c>
      <c r="N3" s="89" t="s">
        <v>380</v>
      </c>
      <c r="O3" s="89" t="s">
        <v>435</v>
      </c>
      <c r="P3" s="89" t="s">
        <v>436</v>
      </c>
      <c r="Q3" s="237"/>
    </row>
    <row r="4" spans="1:17" s="82" customFormat="1" ht="15" x14ac:dyDescent="0.3">
      <c r="A4" s="63">
        <v>1</v>
      </c>
      <c r="B4" s="37" t="s">
        <v>51</v>
      </c>
      <c r="C4" s="118" t="s">
        <v>313</v>
      </c>
      <c r="D4" s="5">
        <v>300</v>
      </c>
      <c r="E4" s="44" t="s">
        <v>159</v>
      </c>
      <c r="F4" s="80">
        <v>10</v>
      </c>
      <c r="G4" s="80"/>
      <c r="H4" s="90"/>
      <c r="I4" s="90"/>
      <c r="J4" s="90"/>
      <c r="K4" s="90"/>
      <c r="L4" s="90"/>
      <c r="M4" s="90"/>
      <c r="N4" s="90"/>
      <c r="O4" s="90"/>
      <c r="P4" s="90"/>
      <c r="Q4" s="90">
        <f t="shared" ref="Q4:Q37" si="0">SUM(H4:P4)</f>
        <v>0</v>
      </c>
    </row>
    <row r="5" spans="1:17" s="82" customFormat="1" ht="15" x14ac:dyDescent="0.3">
      <c r="A5" s="63">
        <v>2</v>
      </c>
      <c r="B5" s="37" t="s">
        <v>52</v>
      </c>
      <c r="C5" s="118" t="s">
        <v>313</v>
      </c>
      <c r="D5" s="5">
        <v>600</v>
      </c>
      <c r="E5" s="44" t="s">
        <v>159</v>
      </c>
      <c r="F5" s="80">
        <v>10</v>
      </c>
      <c r="G5" s="80"/>
      <c r="H5" s="90"/>
      <c r="I5" s="90"/>
      <c r="J5" s="90"/>
      <c r="K5" s="90"/>
      <c r="L5" s="90"/>
      <c r="M5" s="90"/>
      <c r="N5" s="90"/>
      <c r="O5" s="90"/>
      <c r="P5" s="90"/>
      <c r="Q5" s="90">
        <f t="shared" si="0"/>
        <v>0</v>
      </c>
    </row>
    <row r="6" spans="1:17" s="82" customFormat="1" ht="15" x14ac:dyDescent="0.3">
      <c r="A6" s="63">
        <v>3</v>
      </c>
      <c r="B6" s="37" t="s">
        <v>53</v>
      </c>
      <c r="C6" s="118" t="s">
        <v>313</v>
      </c>
      <c r="D6" s="5">
        <v>350</v>
      </c>
      <c r="E6" s="44" t="s">
        <v>159</v>
      </c>
      <c r="F6" s="80">
        <v>10</v>
      </c>
      <c r="G6" s="80"/>
      <c r="H6" s="90"/>
      <c r="I6" s="90"/>
      <c r="J6" s="90"/>
      <c r="K6" s="90"/>
      <c r="L6" s="90"/>
      <c r="M6" s="90"/>
      <c r="N6" s="90"/>
      <c r="O6" s="90"/>
      <c r="P6" s="90"/>
      <c r="Q6" s="90">
        <f t="shared" si="0"/>
        <v>0</v>
      </c>
    </row>
    <row r="7" spans="1:17" s="82" customFormat="1" ht="15" customHeight="1" x14ac:dyDescent="0.3">
      <c r="A7" s="63">
        <v>4</v>
      </c>
      <c r="B7" s="37" t="s">
        <v>277</v>
      </c>
      <c r="C7" s="118" t="s">
        <v>313</v>
      </c>
      <c r="D7" s="5">
        <v>480</v>
      </c>
      <c r="E7" s="44" t="s">
        <v>159</v>
      </c>
      <c r="F7" s="80">
        <v>10</v>
      </c>
      <c r="G7" s="80"/>
      <c r="H7" s="90"/>
      <c r="I7" s="90"/>
      <c r="J7" s="90"/>
      <c r="K7" s="90"/>
      <c r="L7" s="90"/>
      <c r="M7" s="90"/>
      <c r="N7" s="90"/>
      <c r="O7" s="90"/>
      <c r="P7" s="90"/>
      <c r="Q7" s="90">
        <f t="shared" si="0"/>
        <v>0</v>
      </c>
    </row>
    <row r="8" spans="1:17" s="82" customFormat="1" ht="15" x14ac:dyDescent="0.3">
      <c r="A8" s="63">
        <v>5</v>
      </c>
      <c r="B8" s="37" t="s">
        <v>241</v>
      </c>
      <c r="C8" s="5">
        <v>800</v>
      </c>
      <c r="D8" s="5">
        <v>250</v>
      </c>
      <c r="E8" s="44" t="s">
        <v>160</v>
      </c>
      <c r="F8" s="80">
        <v>10</v>
      </c>
      <c r="G8" s="80"/>
      <c r="H8" s="90"/>
      <c r="I8" s="90"/>
      <c r="J8" s="90"/>
      <c r="K8" s="90"/>
      <c r="L8" s="90"/>
      <c r="M8" s="90"/>
      <c r="N8" s="90"/>
      <c r="O8" s="90"/>
      <c r="P8" s="90"/>
      <c r="Q8" s="90">
        <f t="shared" si="0"/>
        <v>0</v>
      </c>
    </row>
    <row r="9" spans="1:17" s="82" customFormat="1" ht="15" x14ac:dyDescent="0.3">
      <c r="A9" s="63">
        <v>6</v>
      </c>
      <c r="B9" s="37" t="s">
        <v>58</v>
      </c>
      <c r="C9" s="5">
        <v>800</v>
      </c>
      <c r="D9" s="5">
        <v>350</v>
      </c>
      <c r="E9" s="44" t="s">
        <v>160</v>
      </c>
      <c r="F9" s="80">
        <v>10</v>
      </c>
      <c r="G9" s="80"/>
      <c r="H9" s="90"/>
      <c r="I9" s="90"/>
      <c r="J9" s="90"/>
      <c r="K9" s="90"/>
      <c r="L9" s="90"/>
      <c r="M9" s="90"/>
      <c r="N9" s="90"/>
      <c r="O9" s="90"/>
      <c r="P9" s="90"/>
      <c r="Q9" s="90">
        <f t="shared" si="0"/>
        <v>0</v>
      </c>
    </row>
    <row r="10" spans="1:17" s="82" customFormat="1" ht="15" x14ac:dyDescent="0.3">
      <c r="A10" s="63">
        <v>7</v>
      </c>
      <c r="B10" s="37" t="s">
        <v>314</v>
      </c>
      <c r="C10" s="5">
        <v>800</v>
      </c>
      <c r="D10" s="5">
        <v>300</v>
      </c>
      <c r="E10" s="106" t="s">
        <v>161</v>
      </c>
      <c r="F10" s="80">
        <v>10</v>
      </c>
      <c r="G10" s="80"/>
      <c r="H10" s="90"/>
      <c r="I10" s="90"/>
      <c r="J10" s="90"/>
      <c r="K10" s="90"/>
      <c r="L10" s="90"/>
      <c r="M10" s="90"/>
      <c r="N10" s="90"/>
      <c r="O10" s="90"/>
      <c r="P10" s="90"/>
      <c r="Q10" s="90">
        <f t="shared" si="0"/>
        <v>0</v>
      </c>
    </row>
    <row r="11" spans="1:17" s="82" customFormat="1" ht="15" x14ac:dyDescent="0.3">
      <c r="A11" s="63">
        <v>8</v>
      </c>
      <c r="B11" s="37" t="s">
        <v>357</v>
      </c>
      <c r="C11" s="5">
        <v>800</v>
      </c>
      <c r="D11" s="5">
        <v>350</v>
      </c>
      <c r="E11" s="106" t="s">
        <v>161</v>
      </c>
      <c r="F11" s="80">
        <v>10</v>
      </c>
      <c r="G11" s="80"/>
      <c r="H11" s="90"/>
      <c r="I11" s="90"/>
      <c r="J11" s="90"/>
      <c r="K11" s="90"/>
      <c r="L11" s="90"/>
      <c r="M11" s="90"/>
      <c r="N11" s="90"/>
      <c r="O11" s="90"/>
      <c r="P11" s="90"/>
      <c r="Q11" s="90">
        <f t="shared" si="0"/>
        <v>0</v>
      </c>
    </row>
    <row r="12" spans="1:17" s="82" customFormat="1" ht="15" x14ac:dyDescent="0.3">
      <c r="A12" s="63">
        <v>9</v>
      </c>
      <c r="B12" s="37" t="s">
        <v>358</v>
      </c>
      <c r="C12" s="5">
        <v>800</v>
      </c>
      <c r="D12" s="5">
        <v>350</v>
      </c>
      <c r="E12" s="106" t="s">
        <v>161</v>
      </c>
      <c r="F12" s="80">
        <v>10</v>
      </c>
      <c r="G12" s="80"/>
      <c r="H12" s="90"/>
      <c r="I12" s="90"/>
      <c r="J12" s="90"/>
      <c r="K12" s="90"/>
      <c r="L12" s="90"/>
      <c r="M12" s="90"/>
      <c r="N12" s="90"/>
      <c r="O12" s="90"/>
      <c r="P12" s="90"/>
      <c r="Q12" s="90">
        <f t="shared" si="0"/>
        <v>0</v>
      </c>
    </row>
    <row r="13" spans="1:17" s="82" customFormat="1" ht="15" x14ac:dyDescent="0.3">
      <c r="A13" s="63">
        <v>10</v>
      </c>
      <c r="B13" s="37" t="s">
        <v>47</v>
      </c>
      <c r="C13" s="5">
        <v>800</v>
      </c>
      <c r="D13" s="5">
        <v>500</v>
      </c>
      <c r="E13" s="106" t="s">
        <v>161</v>
      </c>
      <c r="F13" s="80">
        <v>10</v>
      </c>
      <c r="G13" s="80"/>
      <c r="H13" s="90"/>
      <c r="I13" s="90"/>
      <c r="J13" s="90"/>
      <c r="K13" s="90"/>
      <c r="L13" s="90"/>
      <c r="M13" s="90"/>
      <c r="N13" s="90"/>
      <c r="O13" s="90"/>
      <c r="P13" s="90"/>
      <c r="Q13" s="90">
        <f t="shared" si="0"/>
        <v>0</v>
      </c>
    </row>
    <row r="14" spans="1:17" s="82" customFormat="1" ht="15" x14ac:dyDescent="0.3">
      <c r="A14" s="63">
        <v>11</v>
      </c>
      <c r="B14" s="37" t="s">
        <v>105</v>
      </c>
      <c r="C14" s="5">
        <v>800</v>
      </c>
      <c r="D14" s="5">
        <v>220</v>
      </c>
      <c r="E14" s="44" t="s">
        <v>148</v>
      </c>
      <c r="F14" s="80">
        <v>10</v>
      </c>
      <c r="G14" s="80"/>
      <c r="H14" s="90"/>
      <c r="I14" s="90"/>
      <c r="J14" s="90"/>
      <c r="K14" s="90"/>
      <c r="L14" s="90"/>
      <c r="M14" s="90"/>
      <c r="N14" s="90"/>
      <c r="O14" s="90"/>
      <c r="P14" s="90"/>
      <c r="Q14" s="90">
        <f t="shared" si="0"/>
        <v>0</v>
      </c>
    </row>
    <row r="15" spans="1:17" s="82" customFormat="1" ht="15" x14ac:dyDescent="0.3">
      <c r="A15" s="63">
        <v>12</v>
      </c>
      <c r="B15" s="37" t="s">
        <v>139</v>
      </c>
      <c r="C15" s="5">
        <v>800</v>
      </c>
      <c r="D15" s="5">
        <v>220</v>
      </c>
      <c r="E15" s="44" t="s">
        <v>148</v>
      </c>
      <c r="F15" s="80">
        <v>10</v>
      </c>
      <c r="G15" s="80"/>
      <c r="H15" s="90"/>
      <c r="I15" s="90"/>
      <c r="J15" s="90"/>
      <c r="K15" s="90"/>
      <c r="L15" s="90"/>
      <c r="M15" s="90"/>
      <c r="N15" s="90"/>
      <c r="O15" s="90"/>
      <c r="P15" s="90"/>
      <c r="Q15" s="90">
        <f t="shared" si="0"/>
        <v>0</v>
      </c>
    </row>
    <row r="16" spans="1:17" s="82" customFormat="1" ht="15" x14ac:dyDescent="0.3">
      <c r="A16" s="63">
        <v>13</v>
      </c>
      <c r="B16" s="37" t="s">
        <v>422</v>
      </c>
      <c r="C16" s="5">
        <v>800</v>
      </c>
      <c r="D16" s="5">
        <v>220</v>
      </c>
      <c r="E16" s="44" t="s">
        <v>148</v>
      </c>
      <c r="F16" s="80">
        <v>10</v>
      </c>
      <c r="G16" s="80"/>
      <c r="H16" s="90"/>
      <c r="I16" s="90"/>
      <c r="J16" s="90"/>
      <c r="K16" s="90"/>
      <c r="L16" s="90"/>
      <c r="M16" s="90"/>
      <c r="N16" s="90"/>
      <c r="O16" s="90"/>
      <c r="P16" s="90"/>
      <c r="Q16" s="90">
        <f t="shared" si="0"/>
        <v>0</v>
      </c>
    </row>
    <row r="17" spans="1:17" ht="15" x14ac:dyDescent="0.3">
      <c r="A17" s="63">
        <v>14</v>
      </c>
      <c r="B17" s="37" t="s">
        <v>85</v>
      </c>
      <c r="C17" s="5">
        <v>800</v>
      </c>
      <c r="D17" s="5">
        <v>500</v>
      </c>
      <c r="E17" s="44" t="s">
        <v>164</v>
      </c>
      <c r="F17" s="80">
        <v>10</v>
      </c>
      <c r="G17" s="80"/>
      <c r="H17" s="90"/>
      <c r="I17" s="90"/>
      <c r="J17" s="90"/>
      <c r="K17" s="90"/>
      <c r="L17" s="90"/>
      <c r="M17" s="90"/>
      <c r="N17" s="90"/>
      <c r="O17" s="90"/>
      <c r="P17" s="90"/>
      <c r="Q17" s="90">
        <f t="shared" si="0"/>
        <v>0</v>
      </c>
    </row>
    <row r="18" spans="1:17" ht="15" x14ac:dyDescent="0.3">
      <c r="A18" s="63">
        <v>15</v>
      </c>
      <c r="B18" s="37" t="s">
        <v>109</v>
      </c>
      <c r="C18" s="5">
        <v>800</v>
      </c>
      <c r="D18" s="5">
        <v>400</v>
      </c>
      <c r="E18" s="44" t="s">
        <v>147</v>
      </c>
      <c r="F18" s="80">
        <v>10</v>
      </c>
      <c r="G18" s="80"/>
      <c r="H18" s="90"/>
      <c r="I18" s="90"/>
      <c r="J18" s="90"/>
      <c r="K18" s="90"/>
      <c r="L18" s="90"/>
      <c r="M18" s="90"/>
      <c r="N18" s="90"/>
      <c r="O18" s="90"/>
      <c r="P18" s="90"/>
      <c r="Q18" s="90">
        <f t="shared" si="0"/>
        <v>0</v>
      </c>
    </row>
    <row r="19" spans="1:17" ht="15" x14ac:dyDescent="0.3">
      <c r="A19" s="63">
        <v>16</v>
      </c>
      <c r="B19" s="37" t="s">
        <v>65</v>
      </c>
      <c r="C19" s="5">
        <v>800</v>
      </c>
      <c r="D19" s="5">
        <v>220</v>
      </c>
      <c r="E19" s="44" t="s">
        <v>153</v>
      </c>
      <c r="F19" s="80">
        <v>10</v>
      </c>
      <c r="G19" s="80"/>
      <c r="H19" s="90"/>
      <c r="I19" s="90"/>
      <c r="J19" s="90"/>
      <c r="K19" s="90"/>
      <c r="L19" s="90"/>
      <c r="M19" s="90"/>
      <c r="N19" s="90"/>
      <c r="O19" s="90"/>
      <c r="P19" s="90"/>
      <c r="Q19" s="90">
        <f t="shared" si="0"/>
        <v>0</v>
      </c>
    </row>
    <row r="20" spans="1:17" ht="15" x14ac:dyDescent="0.3">
      <c r="A20" s="63">
        <v>17</v>
      </c>
      <c r="B20" s="37" t="s">
        <v>244</v>
      </c>
      <c r="C20" s="5">
        <v>800</v>
      </c>
      <c r="D20" s="5">
        <v>220</v>
      </c>
      <c r="E20" s="44" t="s">
        <v>153</v>
      </c>
      <c r="F20" s="80">
        <v>10</v>
      </c>
      <c r="G20" s="80"/>
      <c r="H20" s="90"/>
      <c r="I20" s="90"/>
      <c r="J20" s="90"/>
      <c r="K20" s="90"/>
      <c r="L20" s="90"/>
      <c r="M20" s="90"/>
      <c r="N20" s="90"/>
      <c r="O20" s="90"/>
      <c r="P20" s="90"/>
      <c r="Q20" s="90">
        <f t="shared" si="0"/>
        <v>0</v>
      </c>
    </row>
    <row r="21" spans="1:17" ht="15" x14ac:dyDescent="0.3">
      <c r="A21" s="63">
        <v>18</v>
      </c>
      <c r="B21" s="37" t="s">
        <v>111</v>
      </c>
      <c r="C21" s="5">
        <v>800</v>
      </c>
      <c r="D21" s="5">
        <v>220</v>
      </c>
      <c r="E21" s="44" t="s">
        <v>153</v>
      </c>
      <c r="F21" s="80">
        <v>10</v>
      </c>
      <c r="G21" s="80"/>
      <c r="H21" s="90"/>
      <c r="I21" s="90"/>
      <c r="J21" s="90"/>
      <c r="K21" s="90"/>
      <c r="L21" s="90"/>
      <c r="M21" s="90"/>
      <c r="N21" s="90"/>
      <c r="O21" s="90"/>
      <c r="P21" s="90"/>
      <c r="Q21" s="90">
        <f t="shared" si="0"/>
        <v>0</v>
      </c>
    </row>
    <row r="22" spans="1:17" ht="15" x14ac:dyDescent="0.3">
      <c r="A22" s="63">
        <v>19</v>
      </c>
      <c r="B22" s="37" t="s">
        <v>91</v>
      </c>
      <c r="C22" s="5">
        <v>800</v>
      </c>
      <c r="D22" s="5">
        <v>300</v>
      </c>
      <c r="E22" s="44" t="s">
        <v>149</v>
      </c>
      <c r="F22" s="80">
        <v>10</v>
      </c>
      <c r="G22" s="80"/>
      <c r="H22" s="90"/>
      <c r="I22" s="90"/>
      <c r="J22" s="90"/>
      <c r="K22" s="90"/>
      <c r="L22" s="90"/>
      <c r="M22" s="90"/>
      <c r="N22" s="90"/>
      <c r="O22" s="90"/>
      <c r="P22" s="90"/>
      <c r="Q22" s="90">
        <f t="shared" si="0"/>
        <v>0</v>
      </c>
    </row>
    <row r="23" spans="1:17" ht="15" x14ac:dyDescent="0.3">
      <c r="A23" s="63">
        <v>20</v>
      </c>
      <c r="B23" s="37" t="s">
        <v>340</v>
      </c>
      <c r="C23" s="5">
        <v>800</v>
      </c>
      <c r="D23" s="5">
        <v>100</v>
      </c>
      <c r="E23" s="44" t="s">
        <v>149</v>
      </c>
      <c r="F23" s="80">
        <v>10</v>
      </c>
      <c r="G23" s="80"/>
      <c r="H23" s="90"/>
      <c r="I23" s="90"/>
      <c r="J23" s="90"/>
      <c r="K23" s="90"/>
      <c r="L23" s="90"/>
      <c r="M23" s="90"/>
      <c r="N23" s="90"/>
      <c r="O23" s="90"/>
      <c r="P23" s="90"/>
      <c r="Q23" s="90">
        <f t="shared" si="0"/>
        <v>0</v>
      </c>
    </row>
    <row r="24" spans="1:17" ht="15" x14ac:dyDescent="0.3">
      <c r="A24" s="63">
        <v>21</v>
      </c>
      <c r="B24" s="37" t="s">
        <v>97</v>
      </c>
      <c r="C24" s="5">
        <v>800</v>
      </c>
      <c r="D24" s="5">
        <v>250</v>
      </c>
      <c r="E24" s="44" t="s">
        <v>167</v>
      </c>
      <c r="F24" s="80">
        <v>10</v>
      </c>
      <c r="G24" s="80"/>
      <c r="H24" s="90"/>
      <c r="I24" s="90"/>
      <c r="J24" s="90"/>
      <c r="K24" s="90"/>
      <c r="L24" s="90"/>
      <c r="M24" s="90"/>
      <c r="N24" s="90"/>
      <c r="O24" s="90"/>
      <c r="P24" s="90"/>
      <c r="Q24" s="90">
        <f t="shared" si="0"/>
        <v>0</v>
      </c>
    </row>
    <row r="25" spans="1:17" ht="16.8" customHeight="1" x14ac:dyDescent="0.3">
      <c r="A25" s="63">
        <v>22</v>
      </c>
      <c r="B25" s="97" t="s">
        <v>274</v>
      </c>
      <c r="C25" s="5">
        <v>800</v>
      </c>
      <c r="D25" s="5">
        <v>300</v>
      </c>
      <c r="E25" s="44" t="s">
        <v>172</v>
      </c>
      <c r="F25" s="80">
        <v>10</v>
      </c>
      <c r="G25" s="80"/>
      <c r="H25" s="90"/>
      <c r="I25" s="90"/>
      <c r="J25" s="90"/>
      <c r="K25" s="90"/>
      <c r="L25" s="90"/>
      <c r="M25" s="90"/>
      <c r="N25" s="90"/>
      <c r="O25" s="90"/>
      <c r="P25" s="90"/>
      <c r="Q25" s="90">
        <f t="shared" si="0"/>
        <v>0</v>
      </c>
    </row>
    <row r="26" spans="1:17" ht="16.2" customHeight="1" x14ac:dyDescent="0.3">
      <c r="A26" s="63">
        <v>23</v>
      </c>
      <c r="B26" s="97" t="s">
        <v>273</v>
      </c>
      <c r="C26" s="5">
        <v>800</v>
      </c>
      <c r="D26" s="5">
        <v>300</v>
      </c>
      <c r="E26" s="44" t="s">
        <v>172</v>
      </c>
      <c r="F26" s="80">
        <v>10</v>
      </c>
      <c r="G26" s="80"/>
      <c r="H26" s="90"/>
      <c r="I26" s="90"/>
      <c r="J26" s="90"/>
      <c r="K26" s="90"/>
      <c r="L26" s="90"/>
      <c r="M26" s="90"/>
      <c r="N26" s="90"/>
      <c r="O26" s="90"/>
      <c r="P26" s="90"/>
      <c r="Q26" s="90">
        <f t="shared" si="0"/>
        <v>0</v>
      </c>
    </row>
    <row r="27" spans="1:17" ht="15" x14ac:dyDescent="0.3">
      <c r="A27" s="63">
        <v>24</v>
      </c>
      <c r="B27" s="37" t="s">
        <v>590</v>
      </c>
      <c r="C27" s="5">
        <v>800</v>
      </c>
      <c r="D27" s="5">
        <v>150</v>
      </c>
      <c r="E27" s="44" t="s">
        <v>172</v>
      </c>
      <c r="F27" s="80">
        <v>10</v>
      </c>
      <c r="G27" s="80"/>
      <c r="H27" s="90"/>
      <c r="I27" s="90"/>
      <c r="J27" s="90"/>
      <c r="K27" s="90"/>
      <c r="L27" s="90"/>
      <c r="M27" s="90"/>
      <c r="N27" s="90"/>
      <c r="O27" s="90"/>
      <c r="P27" s="90"/>
      <c r="Q27" s="90">
        <f t="shared" si="0"/>
        <v>0</v>
      </c>
    </row>
    <row r="28" spans="1:17" ht="15" x14ac:dyDescent="0.3">
      <c r="A28" s="63">
        <v>25</v>
      </c>
      <c r="B28" s="37" t="s">
        <v>135</v>
      </c>
      <c r="C28" s="5">
        <v>800</v>
      </c>
      <c r="D28" s="5">
        <v>350</v>
      </c>
      <c r="E28" s="44" t="s">
        <v>146</v>
      </c>
      <c r="F28" s="80">
        <v>10</v>
      </c>
      <c r="G28" s="80"/>
      <c r="H28" s="90"/>
      <c r="I28" s="90"/>
      <c r="J28" s="90"/>
      <c r="K28" s="90"/>
      <c r="L28" s="90"/>
      <c r="M28" s="90"/>
      <c r="N28" s="90"/>
      <c r="O28" s="90"/>
      <c r="P28" s="90"/>
      <c r="Q28" s="90">
        <f t="shared" si="0"/>
        <v>0</v>
      </c>
    </row>
    <row r="29" spans="1:17" ht="15" x14ac:dyDescent="0.3">
      <c r="A29" s="63">
        <v>26</v>
      </c>
      <c r="B29" s="37" t="s">
        <v>319</v>
      </c>
      <c r="C29" s="5">
        <v>800</v>
      </c>
      <c r="D29" s="5">
        <v>200</v>
      </c>
      <c r="E29" s="44" t="s">
        <v>316</v>
      </c>
      <c r="F29" s="80">
        <v>10</v>
      </c>
      <c r="G29" s="80"/>
      <c r="H29" s="90"/>
      <c r="I29" s="90"/>
      <c r="J29" s="90"/>
      <c r="K29" s="90"/>
      <c r="L29" s="90"/>
      <c r="M29" s="90"/>
      <c r="N29" s="90"/>
      <c r="O29" s="90"/>
      <c r="P29" s="90"/>
      <c r="Q29" s="90">
        <f t="shared" si="0"/>
        <v>0</v>
      </c>
    </row>
    <row r="30" spans="1:17" ht="15" x14ac:dyDescent="0.3">
      <c r="A30" s="63">
        <v>27</v>
      </c>
      <c r="B30" s="37" t="s">
        <v>291</v>
      </c>
      <c r="C30" s="5">
        <v>800</v>
      </c>
      <c r="D30" s="77">
        <v>225</v>
      </c>
      <c r="E30" s="55" t="s">
        <v>140</v>
      </c>
      <c r="F30" s="80">
        <v>10</v>
      </c>
      <c r="G30" s="80"/>
      <c r="H30" s="90"/>
      <c r="I30" s="90"/>
      <c r="J30" s="90"/>
      <c r="K30" s="90"/>
      <c r="L30" s="90"/>
      <c r="M30" s="90"/>
      <c r="N30" s="90"/>
      <c r="O30" s="90"/>
      <c r="P30" s="90"/>
      <c r="Q30" s="90">
        <f t="shared" si="0"/>
        <v>0</v>
      </c>
    </row>
    <row r="31" spans="1:17" ht="15" x14ac:dyDescent="0.3">
      <c r="A31" s="63">
        <v>28</v>
      </c>
      <c r="B31" s="49" t="s">
        <v>178</v>
      </c>
      <c r="C31" s="5">
        <v>800</v>
      </c>
      <c r="D31" s="5">
        <v>450</v>
      </c>
      <c r="E31" s="44" t="s">
        <v>177</v>
      </c>
      <c r="F31" s="80">
        <v>10</v>
      </c>
      <c r="G31" s="80"/>
      <c r="H31" s="90"/>
      <c r="I31" s="90"/>
      <c r="J31" s="90"/>
      <c r="K31" s="90"/>
      <c r="L31" s="90"/>
      <c r="M31" s="90"/>
      <c r="N31" s="90"/>
      <c r="O31" s="90"/>
      <c r="P31" s="90"/>
      <c r="Q31" s="90">
        <f t="shared" si="0"/>
        <v>0</v>
      </c>
    </row>
    <row r="32" spans="1:17" ht="15" x14ac:dyDescent="0.3">
      <c r="A32" s="63">
        <v>29</v>
      </c>
      <c r="B32" s="37" t="s">
        <v>263</v>
      </c>
      <c r="C32" s="5">
        <v>800</v>
      </c>
      <c r="D32" s="77">
        <v>250</v>
      </c>
      <c r="E32" s="55" t="s">
        <v>138</v>
      </c>
      <c r="F32" s="80">
        <v>10</v>
      </c>
      <c r="G32" s="80"/>
      <c r="H32" s="90"/>
      <c r="I32" s="90"/>
      <c r="J32" s="90"/>
      <c r="K32" s="90"/>
      <c r="L32" s="90"/>
      <c r="M32" s="90"/>
      <c r="N32" s="90"/>
      <c r="O32" s="90"/>
      <c r="P32" s="90"/>
      <c r="Q32" s="90">
        <f t="shared" si="0"/>
        <v>0</v>
      </c>
    </row>
    <row r="33" spans="1:17" s="82" customFormat="1" ht="15" x14ac:dyDescent="0.3">
      <c r="A33" s="63">
        <v>30</v>
      </c>
      <c r="B33" s="37" t="s">
        <v>338</v>
      </c>
      <c r="C33" s="5">
        <v>800</v>
      </c>
      <c r="D33" s="77">
        <v>250</v>
      </c>
      <c r="E33" s="55" t="s">
        <v>168</v>
      </c>
      <c r="F33" s="80">
        <v>10</v>
      </c>
      <c r="G33" s="80"/>
      <c r="H33" s="90"/>
      <c r="I33" s="90"/>
      <c r="J33" s="90"/>
      <c r="K33" s="90"/>
      <c r="L33" s="90"/>
      <c r="M33" s="90"/>
      <c r="N33" s="90"/>
      <c r="O33" s="90"/>
      <c r="P33" s="90"/>
      <c r="Q33" s="90">
        <f t="shared" si="0"/>
        <v>0</v>
      </c>
    </row>
    <row r="34" spans="1:17" s="82" customFormat="1" ht="15" x14ac:dyDescent="0.3">
      <c r="A34" s="63">
        <v>31</v>
      </c>
      <c r="B34" s="37" t="s">
        <v>387</v>
      </c>
      <c r="C34" s="5">
        <v>800</v>
      </c>
      <c r="D34" s="77">
        <v>350</v>
      </c>
      <c r="E34" s="55" t="s">
        <v>359</v>
      </c>
      <c r="F34" s="80">
        <v>10</v>
      </c>
      <c r="G34" s="80"/>
      <c r="H34" s="90"/>
      <c r="I34" s="90"/>
      <c r="J34" s="90"/>
      <c r="K34" s="90"/>
      <c r="L34" s="90"/>
      <c r="M34" s="90"/>
      <c r="N34" s="90"/>
      <c r="O34" s="90"/>
      <c r="P34" s="90"/>
      <c r="Q34" s="90">
        <f t="shared" si="0"/>
        <v>0</v>
      </c>
    </row>
    <row r="35" spans="1:17" s="82" customFormat="1" ht="15" x14ac:dyDescent="0.3">
      <c r="A35" s="63">
        <v>32</v>
      </c>
      <c r="B35" s="37" t="s">
        <v>388</v>
      </c>
      <c r="C35" s="5">
        <v>800</v>
      </c>
      <c r="D35" s="77">
        <v>350</v>
      </c>
      <c r="E35" s="55" t="s">
        <v>359</v>
      </c>
      <c r="F35" s="80">
        <v>10</v>
      </c>
      <c r="G35" s="80"/>
      <c r="H35" s="90"/>
      <c r="I35" s="90"/>
      <c r="J35" s="90"/>
      <c r="K35" s="90"/>
      <c r="L35" s="90"/>
      <c r="M35" s="90"/>
      <c r="N35" s="90"/>
      <c r="O35" s="90"/>
      <c r="P35" s="90"/>
      <c r="Q35" s="90">
        <f t="shared" si="0"/>
        <v>0</v>
      </c>
    </row>
    <row r="36" spans="1:17" s="82" customFormat="1" ht="15" x14ac:dyDescent="0.3">
      <c r="A36" s="63">
        <v>33</v>
      </c>
      <c r="B36" s="37" t="s">
        <v>194</v>
      </c>
      <c r="C36" s="5">
        <v>800</v>
      </c>
      <c r="D36" s="77">
        <v>150</v>
      </c>
      <c r="E36" s="102" t="s">
        <v>195</v>
      </c>
      <c r="F36" s="80">
        <v>10</v>
      </c>
      <c r="G36" s="80"/>
      <c r="H36" s="90"/>
      <c r="I36" s="90"/>
      <c r="J36" s="90"/>
      <c r="K36" s="90"/>
      <c r="L36" s="90"/>
      <c r="M36" s="90"/>
      <c r="N36" s="90"/>
      <c r="O36" s="90"/>
      <c r="P36" s="90"/>
      <c r="Q36" s="90">
        <f t="shared" si="0"/>
        <v>0</v>
      </c>
    </row>
    <row r="37" spans="1:17" s="82" customFormat="1" ht="15" x14ac:dyDescent="0.3">
      <c r="A37" s="63">
        <v>34</v>
      </c>
      <c r="B37" s="37" t="s">
        <v>382</v>
      </c>
      <c r="C37" s="5">
        <v>800</v>
      </c>
      <c r="D37" s="77">
        <v>300</v>
      </c>
      <c r="E37" s="102" t="s">
        <v>195</v>
      </c>
      <c r="F37" s="80">
        <v>10</v>
      </c>
      <c r="G37" s="80"/>
      <c r="H37" s="90"/>
      <c r="I37" s="90"/>
      <c r="J37" s="90"/>
      <c r="K37" s="90"/>
      <c r="L37" s="90"/>
      <c r="M37" s="90"/>
      <c r="N37" s="90"/>
      <c r="O37" s="90"/>
      <c r="P37" s="90"/>
      <c r="Q37" s="90">
        <f t="shared" si="0"/>
        <v>0</v>
      </c>
    </row>
    <row r="38" spans="1:17" s="82" customFormat="1" ht="15" x14ac:dyDescent="0.3">
      <c r="A38" s="63">
        <v>35</v>
      </c>
      <c r="B38" s="37" t="s">
        <v>428</v>
      </c>
      <c r="C38" s="5">
        <v>800</v>
      </c>
      <c r="D38" s="77">
        <v>350</v>
      </c>
      <c r="E38" s="55" t="s">
        <v>419</v>
      </c>
      <c r="F38" s="80">
        <v>10</v>
      </c>
      <c r="G38" s="80"/>
      <c r="H38" s="90"/>
      <c r="I38" s="90"/>
      <c r="J38" s="90"/>
      <c r="K38" s="90"/>
      <c r="L38" s="90"/>
      <c r="M38" s="90"/>
      <c r="N38" s="90"/>
      <c r="O38" s="90"/>
      <c r="P38" s="90"/>
      <c r="Q38" s="90">
        <f t="shared" ref="Q38:Q56" si="1">SUM(H38:P38)</f>
        <v>0</v>
      </c>
    </row>
    <row r="39" spans="1:17" s="82" customFormat="1" ht="15" x14ac:dyDescent="0.3">
      <c r="A39" s="63">
        <v>36</v>
      </c>
      <c r="B39" s="107" t="s">
        <v>466</v>
      </c>
      <c r="C39" s="5">
        <v>800</v>
      </c>
      <c r="D39" s="77">
        <v>260</v>
      </c>
      <c r="E39" s="102" t="s">
        <v>467</v>
      </c>
      <c r="F39" s="80">
        <v>10</v>
      </c>
      <c r="G39" s="116"/>
      <c r="H39" s="109"/>
      <c r="I39" s="90"/>
      <c r="J39" s="90"/>
      <c r="K39" s="90"/>
      <c r="L39" s="90"/>
      <c r="M39" s="90"/>
      <c r="N39" s="90"/>
      <c r="O39" s="90"/>
      <c r="P39" s="90"/>
      <c r="Q39" s="90">
        <f t="shared" si="1"/>
        <v>0</v>
      </c>
    </row>
    <row r="40" spans="1:17" s="82" customFormat="1" ht="15" x14ac:dyDescent="0.3">
      <c r="A40" s="63">
        <v>37</v>
      </c>
      <c r="B40" s="107" t="s">
        <v>290</v>
      </c>
      <c r="C40" s="108">
        <v>800</v>
      </c>
      <c r="D40" s="127">
        <v>549</v>
      </c>
      <c r="E40" s="128" t="s">
        <v>583</v>
      </c>
      <c r="F40" s="80">
        <v>10</v>
      </c>
      <c r="G40" s="116"/>
      <c r="H40" s="109"/>
      <c r="I40" s="90"/>
      <c r="J40" s="90"/>
      <c r="K40" s="90"/>
      <c r="L40" s="90"/>
      <c r="M40" s="90"/>
      <c r="N40" s="90"/>
      <c r="O40" s="90"/>
      <c r="P40" s="90"/>
      <c r="Q40" s="90">
        <f t="shared" si="1"/>
        <v>0</v>
      </c>
    </row>
    <row r="41" spans="1:17" s="82" customFormat="1" ht="15" x14ac:dyDescent="0.3">
      <c r="A41" s="63">
        <v>38</v>
      </c>
      <c r="B41" s="107" t="s">
        <v>588</v>
      </c>
      <c r="C41" s="108">
        <v>800</v>
      </c>
      <c r="D41" s="127">
        <v>249</v>
      </c>
      <c r="E41" s="128" t="s">
        <v>197</v>
      </c>
      <c r="F41" s="80">
        <v>10</v>
      </c>
      <c r="G41" s="116"/>
      <c r="H41" s="109"/>
      <c r="I41" s="90"/>
      <c r="J41" s="90"/>
      <c r="K41" s="90"/>
      <c r="L41" s="90"/>
      <c r="M41" s="90"/>
      <c r="N41" s="90"/>
      <c r="O41" s="90"/>
      <c r="P41" s="90"/>
      <c r="Q41" s="90">
        <f t="shared" si="1"/>
        <v>0</v>
      </c>
    </row>
    <row r="42" spans="1:17" s="82" customFormat="1" ht="15" x14ac:dyDescent="0.3">
      <c r="A42" s="63">
        <v>39</v>
      </c>
      <c r="B42" s="107"/>
      <c r="C42" s="108">
        <v>800</v>
      </c>
      <c r="D42" s="127"/>
      <c r="E42" s="128" t="s">
        <v>589</v>
      </c>
      <c r="F42" s="80">
        <v>10</v>
      </c>
      <c r="G42" s="116"/>
      <c r="H42" s="109"/>
      <c r="I42" s="90"/>
      <c r="J42" s="90"/>
      <c r="K42" s="90"/>
      <c r="L42" s="90"/>
      <c r="M42" s="90"/>
      <c r="N42" s="90"/>
      <c r="O42" s="90"/>
      <c r="P42" s="90"/>
      <c r="Q42" s="90">
        <f t="shared" si="1"/>
        <v>0</v>
      </c>
    </row>
    <row r="43" spans="1:17" s="82" customFormat="1" ht="15" x14ac:dyDescent="0.3">
      <c r="A43" s="63">
        <v>40</v>
      </c>
      <c r="B43" s="107"/>
      <c r="C43" s="108">
        <v>800</v>
      </c>
      <c r="D43" s="127"/>
      <c r="E43" s="128" t="s">
        <v>589</v>
      </c>
      <c r="F43" s="80">
        <v>10</v>
      </c>
      <c r="G43" s="116"/>
      <c r="H43" s="109"/>
      <c r="I43" s="90"/>
      <c r="J43" s="90"/>
      <c r="K43" s="90"/>
      <c r="L43" s="90"/>
      <c r="M43" s="90"/>
      <c r="N43" s="90"/>
      <c r="O43" s="90"/>
      <c r="P43" s="90"/>
      <c r="Q43" s="90">
        <f t="shared" si="1"/>
        <v>0</v>
      </c>
    </row>
    <row r="44" spans="1:17" s="82" customFormat="1" ht="15" x14ac:dyDescent="0.3">
      <c r="A44" s="63">
        <v>41</v>
      </c>
      <c r="B44" s="107"/>
      <c r="C44" s="108">
        <v>800</v>
      </c>
      <c r="D44" s="127"/>
      <c r="E44" s="128" t="s">
        <v>589</v>
      </c>
      <c r="F44" s="80">
        <v>10</v>
      </c>
      <c r="G44" s="116"/>
      <c r="H44" s="109"/>
      <c r="I44" s="90"/>
      <c r="J44" s="90"/>
      <c r="K44" s="90"/>
      <c r="L44" s="90"/>
      <c r="M44" s="90"/>
      <c r="N44" s="90"/>
      <c r="O44" s="90"/>
      <c r="P44" s="90"/>
      <c r="Q44" s="90">
        <f t="shared" si="1"/>
        <v>0</v>
      </c>
    </row>
    <row r="45" spans="1:17" s="82" customFormat="1" ht="15" x14ac:dyDescent="0.3">
      <c r="A45" s="63">
        <v>42</v>
      </c>
      <c r="B45" s="107" t="s">
        <v>593</v>
      </c>
      <c r="C45" s="108">
        <v>800</v>
      </c>
      <c r="D45" s="127">
        <v>200</v>
      </c>
      <c r="E45" s="128" t="s">
        <v>592</v>
      </c>
      <c r="F45" s="80">
        <v>10</v>
      </c>
      <c r="G45" s="116"/>
      <c r="H45" s="109"/>
      <c r="I45" s="90"/>
      <c r="J45" s="90"/>
      <c r="K45" s="90"/>
      <c r="L45" s="90"/>
      <c r="M45" s="90"/>
      <c r="N45" s="90"/>
      <c r="O45" s="90"/>
      <c r="P45" s="90"/>
      <c r="Q45" s="90">
        <f t="shared" si="1"/>
        <v>0</v>
      </c>
    </row>
    <row r="46" spans="1:17" s="82" customFormat="1" ht="15" x14ac:dyDescent="0.3">
      <c r="A46" s="63">
        <v>43</v>
      </c>
      <c r="B46" s="107" t="s">
        <v>594</v>
      </c>
      <c r="C46" s="108">
        <v>800</v>
      </c>
      <c r="D46" s="127">
        <v>200</v>
      </c>
      <c r="E46" s="128" t="s">
        <v>592</v>
      </c>
      <c r="F46" s="80">
        <v>10</v>
      </c>
      <c r="G46" s="116"/>
      <c r="H46" s="109"/>
      <c r="I46" s="90"/>
      <c r="J46" s="90"/>
      <c r="K46" s="90"/>
      <c r="L46" s="90"/>
      <c r="M46" s="90"/>
      <c r="N46" s="90"/>
      <c r="O46" s="90"/>
      <c r="P46" s="90"/>
      <c r="Q46" s="90">
        <f t="shared" si="1"/>
        <v>0</v>
      </c>
    </row>
    <row r="47" spans="1:17" s="82" customFormat="1" ht="15" x14ac:dyDescent="0.3">
      <c r="A47" s="63">
        <v>44</v>
      </c>
      <c r="B47" s="107" t="s">
        <v>487</v>
      </c>
      <c r="C47" s="108">
        <v>800</v>
      </c>
      <c r="D47" s="127">
        <v>300</v>
      </c>
      <c r="E47" s="128" t="s">
        <v>553</v>
      </c>
      <c r="F47" s="80">
        <v>10</v>
      </c>
      <c r="G47" s="116"/>
      <c r="H47" s="109"/>
      <c r="I47" s="90"/>
      <c r="J47" s="90"/>
      <c r="K47" s="90"/>
      <c r="L47" s="90"/>
      <c r="M47" s="90"/>
      <c r="N47" s="90"/>
      <c r="O47" s="90"/>
      <c r="P47" s="90"/>
      <c r="Q47" s="90">
        <f t="shared" si="1"/>
        <v>0</v>
      </c>
    </row>
    <row r="48" spans="1:17" s="82" customFormat="1" ht="15" x14ac:dyDescent="0.3">
      <c r="A48" s="63">
        <v>45</v>
      </c>
      <c r="B48" s="107" t="s">
        <v>488</v>
      </c>
      <c r="C48" s="108">
        <v>800</v>
      </c>
      <c r="D48" s="127">
        <v>350</v>
      </c>
      <c r="E48" s="128" t="s">
        <v>553</v>
      </c>
      <c r="F48" s="80">
        <v>10</v>
      </c>
      <c r="G48" s="116"/>
      <c r="H48" s="109"/>
      <c r="I48" s="90"/>
      <c r="J48" s="90"/>
      <c r="K48" s="90"/>
      <c r="L48" s="90"/>
      <c r="M48" s="90"/>
      <c r="N48" s="90"/>
      <c r="O48" s="90"/>
      <c r="P48" s="90"/>
      <c r="Q48" s="90">
        <f t="shared" si="1"/>
        <v>0</v>
      </c>
    </row>
    <row r="49" spans="1:17" s="82" customFormat="1" ht="15" x14ac:dyDescent="0.3">
      <c r="A49" s="63">
        <v>46</v>
      </c>
      <c r="B49" s="107" t="s">
        <v>595</v>
      </c>
      <c r="C49" s="108">
        <v>800</v>
      </c>
      <c r="D49" s="127">
        <v>399</v>
      </c>
      <c r="E49" s="128" t="s">
        <v>480</v>
      </c>
      <c r="F49" s="80">
        <v>10</v>
      </c>
      <c r="G49" s="116"/>
      <c r="H49" s="109"/>
      <c r="I49" s="90"/>
      <c r="J49" s="90"/>
      <c r="K49" s="90"/>
      <c r="L49" s="90"/>
      <c r="M49" s="90"/>
      <c r="N49" s="90"/>
      <c r="O49" s="90"/>
      <c r="P49" s="90"/>
      <c r="Q49" s="90">
        <f t="shared" si="1"/>
        <v>0</v>
      </c>
    </row>
    <row r="50" spans="1:17" s="82" customFormat="1" ht="15" x14ac:dyDescent="0.3">
      <c r="A50" s="63">
        <v>47</v>
      </c>
      <c r="B50" s="107" t="s">
        <v>512</v>
      </c>
      <c r="C50" s="108">
        <v>800</v>
      </c>
      <c r="D50" s="127">
        <v>245</v>
      </c>
      <c r="E50" s="128" t="s">
        <v>511</v>
      </c>
      <c r="F50" s="80">
        <v>10</v>
      </c>
      <c r="G50" s="116"/>
      <c r="H50" s="109"/>
      <c r="I50" s="90"/>
      <c r="J50" s="90"/>
      <c r="K50" s="90"/>
      <c r="L50" s="90"/>
      <c r="M50" s="90"/>
      <c r="N50" s="90"/>
      <c r="O50" s="90"/>
      <c r="P50" s="90"/>
      <c r="Q50" s="90">
        <f t="shared" si="1"/>
        <v>0</v>
      </c>
    </row>
    <row r="51" spans="1:17" s="82" customFormat="1" ht="15" x14ac:dyDescent="0.3">
      <c r="A51" s="63">
        <v>48</v>
      </c>
      <c r="B51" s="107" t="s">
        <v>617</v>
      </c>
      <c r="C51" s="108">
        <v>800</v>
      </c>
      <c r="D51" s="127">
        <v>421</v>
      </c>
      <c r="E51" s="128" t="s">
        <v>611</v>
      </c>
      <c r="F51" s="80">
        <v>10</v>
      </c>
      <c r="G51" s="116"/>
      <c r="H51" s="109"/>
      <c r="I51" s="90"/>
      <c r="J51" s="90"/>
      <c r="K51" s="90"/>
      <c r="L51" s="90"/>
      <c r="M51" s="90"/>
      <c r="N51" s="90"/>
      <c r="O51" s="90"/>
      <c r="P51" s="90"/>
      <c r="Q51" s="90">
        <f t="shared" si="1"/>
        <v>0</v>
      </c>
    </row>
    <row r="52" spans="1:17" s="82" customFormat="1" ht="15" x14ac:dyDescent="0.3">
      <c r="A52" s="63">
        <v>49</v>
      </c>
      <c r="B52" s="107" t="s">
        <v>618</v>
      </c>
      <c r="C52" s="108">
        <v>800</v>
      </c>
      <c r="D52" s="127"/>
      <c r="E52" s="128" t="s">
        <v>191</v>
      </c>
      <c r="F52" s="80">
        <v>10</v>
      </c>
      <c r="G52" s="116"/>
      <c r="H52" s="109"/>
      <c r="I52" s="90"/>
      <c r="J52" s="90"/>
      <c r="K52" s="90"/>
      <c r="L52" s="90"/>
      <c r="M52" s="90"/>
      <c r="N52" s="90"/>
      <c r="O52" s="90"/>
      <c r="P52" s="90"/>
      <c r="Q52" s="90">
        <f t="shared" si="1"/>
        <v>0</v>
      </c>
    </row>
    <row r="53" spans="1:17" s="82" customFormat="1" ht="15" x14ac:dyDescent="0.3">
      <c r="A53" s="63">
        <v>50</v>
      </c>
      <c r="B53" s="107" t="s">
        <v>618</v>
      </c>
      <c r="C53" s="108">
        <v>800</v>
      </c>
      <c r="D53" s="127"/>
      <c r="E53" s="128" t="s">
        <v>191</v>
      </c>
      <c r="F53" s="80">
        <v>10</v>
      </c>
      <c r="G53" s="116"/>
      <c r="H53" s="109"/>
      <c r="I53" s="90"/>
      <c r="J53" s="90"/>
      <c r="K53" s="90"/>
      <c r="L53" s="90"/>
      <c r="M53" s="90"/>
      <c r="N53" s="90"/>
      <c r="O53" s="90"/>
      <c r="P53" s="90"/>
      <c r="Q53" s="90">
        <f t="shared" si="1"/>
        <v>0</v>
      </c>
    </row>
    <row r="54" spans="1:17" s="82" customFormat="1" ht="15" x14ac:dyDescent="0.3">
      <c r="A54" s="63">
        <v>51</v>
      </c>
      <c r="B54" s="189" t="s">
        <v>618</v>
      </c>
      <c r="C54" s="108">
        <v>800</v>
      </c>
      <c r="D54" s="178"/>
      <c r="E54" s="179" t="s">
        <v>191</v>
      </c>
      <c r="F54" s="110">
        <v>10</v>
      </c>
      <c r="G54" s="116"/>
      <c r="H54" s="109"/>
      <c r="I54" s="90"/>
      <c r="J54" s="90"/>
      <c r="K54" s="90"/>
      <c r="L54" s="90"/>
      <c r="M54" s="90"/>
      <c r="N54" s="90"/>
      <c r="O54" s="90"/>
      <c r="P54" s="90"/>
      <c r="Q54" s="90">
        <f t="shared" si="1"/>
        <v>0</v>
      </c>
    </row>
    <row r="55" spans="1:17" s="82" customFormat="1" ht="15" x14ac:dyDescent="0.3">
      <c r="A55" s="63">
        <v>52</v>
      </c>
      <c r="B55" s="189"/>
      <c r="C55" s="189"/>
      <c r="D55" s="189"/>
      <c r="E55" s="106"/>
      <c r="F55" s="110"/>
      <c r="G55" s="114"/>
      <c r="H55" s="180"/>
      <c r="I55" s="90"/>
      <c r="J55" s="90"/>
      <c r="K55" s="90"/>
      <c r="L55" s="90"/>
      <c r="M55" s="90"/>
      <c r="N55" s="90"/>
      <c r="O55" s="90"/>
      <c r="P55" s="90"/>
      <c r="Q55" s="90">
        <f t="shared" si="1"/>
        <v>0</v>
      </c>
    </row>
    <row r="56" spans="1:17" s="82" customFormat="1" ht="15" x14ac:dyDescent="0.3">
      <c r="A56" s="63"/>
      <c r="B56" s="37"/>
      <c r="C56" s="5"/>
      <c r="D56" s="5"/>
      <c r="E56" s="106"/>
      <c r="F56" s="80"/>
      <c r="G56" s="116"/>
      <c r="H56" s="90"/>
      <c r="I56" s="90"/>
      <c r="J56" s="90"/>
      <c r="K56" s="90"/>
      <c r="L56" s="90"/>
      <c r="M56" s="90"/>
      <c r="N56" s="90"/>
      <c r="O56" s="90"/>
      <c r="P56" s="90"/>
      <c r="Q56" s="90">
        <f t="shared" si="1"/>
        <v>0</v>
      </c>
    </row>
    <row r="57" spans="1:17" s="82" customFormat="1" ht="21.6" thickBot="1" x14ac:dyDescent="0.35">
      <c r="A57" s="63"/>
      <c r="B57" s="181"/>
      <c r="C57" s="182">
        <f>SUM(C4:C54)</f>
        <v>37600</v>
      </c>
      <c r="D57" s="129"/>
      <c r="E57" s="130"/>
      <c r="F57" s="183">
        <f>SUM(F4:F54)</f>
        <v>510</v>
      </c>
      <c r="G57" s="184">
        <f>SUM(G4:G40)</f>
        <v>0</v>
      </c>
      <c r="H57" s="185">
        <f t="shared" ref="H57:Q57" si="2">SUM(H4:H55)</f>
        <v>0</v>
      </c>
      <c r="I57" s="134">
        <f t="shared" si="2"/>
        <v>0</v>
      </c>
      <c r="J57" s="134">
        <f t="shared" si="2"/>
        <v>0</v>
      </c>
      <c r="K57" s="134">
        <f t="shared" si="2"/>
        <v>0</v>
      </c>
      <c r="L57" s="134">
        <f t="shared" si="2"/>
        <v>0</v>
      </c>
      <c r="M57" s="134">
        <f t="shared" si="2"/>
        <v>0</v>
      </c>
      <c r="N57" s="134">
        <f t="shared" si="2"/>
        <v>0</v>
      </c>
      <c r="O57" s="134">
        <f t="shared" si="2"/>
        <v>0</v>
      </c>
      <c r="P57" s="134">
        <f t="shared" si="2"/>
        <v>0</v>
      </c>
      <c r="Q57" s="98">
        <f t="shared" si="2"/>
        <v>0</v>
      </c>
    </row>
    <row r="68" ht="29.4" customHeight="1" x14ac:dyDescent="0.3"/>
    <row r="76" ht="28.8" customHeight="1" x14ac:dyDescent="0.3"/>
    <row r="81" spans="3:4" x14ac:dyDescent="0.3">
      <c r="C81" s="83"/>
      <c r="D81" s="83"/>
    </row>
    <row r="82" spans="3:4" x14ac:dyDescent="0.3">
      <c r="C82" s="83"/>
      <c r="D82" s="8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E1C-7108-437E-9DFB-9A93D8AF01D4}">
  <dimension ref="B2:F59"/>
  <sheetViews>
    <sheetView topLeftCell="A35" workbookViewId="0">
      <selection activeCell="H45" sqref="H45"/>
    </sheetView>
  </sheetViews>
  <sheetFormatPr defaultRowHeight="14.4" x14ac:dyDescent="0.3"/>
  <cols>
    <col min="2" max="2" width="7" bestFit="1" customWidth="1"/>
    <col min="3" max="3" width="78.6640625" bestFit="1" customWidth="1"/>
    <col min="4" max="4" width="15.6640625" customWidth="1"/>
    <col min="5" max="5" width="21.6640625" bestFit="1" customWidth="1"/>
    <col min="6" max="6" width="13" customWidth="1"/>
  </cols>
  <sheetData>
    <row r="2" spans="2:6" ht="17.399999999999999" x14ac:dyDescent="0.3">
      <c r="B2" s="245" t="s">
        <v>619</v>
      </c>
      <c r="C2" s="246"/>
      <c r="D2" s="246"/>
      <c r="E2" s="246"/>
      <c r="F2" s="246"/>
    </row>
    <row r="3" spans="2:6" x14ac:dyDescent="0.3">
      <c r="B3" s="244" t="s">
        <v>0</v>
      </c>
      <c r="C3" s="234" t="s">
        <v>3</v>
      </c>
      <c r="D3" s="235" t="s">
        <v>4</v>
      </c>
      <c r="E3" s="234" t="s">
        <v>1</v>
      </c>
      <c r="F3" s="229" t="s">
        <v>158</v>
      </c>
    </row>
    <row r="4" spans="2:6" x14ac:dyDescent="0.3">
      <c r="B4" s="244"/>
      <c r="C4" s="234"/>
      <c r="D4" s="235"/>
      <c r="E4" s="234"/>
      <c r="F4" s="230"/>
    </row>
    <row r="5" spans="2:6" ht="15" x14ac:dyDescent="0.3">
      <c r="B5" s="63">
        <v>1</v>
      </c>
      <c r="C5" s="37" t="s">
        <v>51</v>
      </c>
      <c r="D5" s="37" t="s">
        <v>88</v>
      </c>
      <c r="E5" s="44" t="s">
        <v>159</v>
      </c>
      <c r="F5" s="45">
        <v>2</v>
      </c>
    </row>
    <row r="6" spans="2:6" ht="15" x14ac:dyDescent="0.3">
      <c r="B6" s="63">
        <v>2</v>
      </c>
      <c r="C6" s="37" t="s">
        <v>52</v>
      </c>
      <c r="D6" s="37" t="s">
        <v>88</v>
      </c>
      <c r="E6" s="44" t="s">
        <v>159</v>
      </c>
      <c r="F6" s="45">
        <v>2</v>
      </c>
    </row>
    <row r="7" spans="2:6" ht="15" x14ac:dyDescent="0.3">
      <c r="B7" s="63">
        <v>3</v>
      </c>
      <c r="C7" s="37" t="s">
        <v>53</v>
      </c>
      <c r="D7" s="37" t="s">
        <v>88</v>
      </c>
      <c r="E7" s="44" t="s">
        <v>159</v>
      </c>
      <c r="F7" s="45">
        <v>2</v>
      </c>
    </row>
    <row r="8" spans="2:6" ht="15" x14ac:dyDescent="0.3">
      <c r="B8" s="63">
        <v>4</v>
      </c>
      <c r="C8" s="37" t="s">
        <v>277</v>
      </c>
      <c r="D8" s="37" t="s">
        <v>88</v>
      </c>
      <c r="E8" s="44" t="s">
        <v>159</v>
      </c>
      <c r="F8" s="45">
        <v>2</v>
      </c>
    </row>
    <row r="9" spans="2:6" ht="15" x14ac:dyDescent="0.3">
      <c r="B9" s="63">
        <v>5</v>
      </c>
      <c r="C9" s="37" t="s">
        <v>370</v>
      </c>
      <c r="D9" s="37" t="s">
        <v>38</v>
      </c>
      <c r="E9" s="44" t="s">
        <v>160</v>
      </c>
      <c r="F9" s="45">
        <v>1</v>
      </c>
    </row>
    <row r="10" spans="2:6" ht="15" x14ac:dyDescent="0.3">
      <c r="B10" s="63">
        <v>6</v>
      </c>
      <c r="C10" s="37" t="s">
        <v>58</v>
      </c>
      <c r="D10" s="37" t="s">
        <v>38</v>
      </c>
      <c r="E10" s="44" t="s">
        <v>160</v>
      </c>
      <c r="F10" s="45">
        <v>1</v>
      </c>
    </row>
    <row r="11" spans="2:6" ht="15" x14ac:dyDescent="0.3">
      <c r="B11" s="63">
        <v>7</v>
      </c>
      <c r="C11" s="37" t="s">
        <v>45</v>
      </c>
      <c r="D11" s="37" t="s">
        <v>38</v>
      </c>
      <c r="E11" s="44" t="s">
        <v>161</v>
      </c>
      <c r="F11" s="45">
        <v>2</v>
      </c>
    </row>
    <row r="12" spans="2:6" ht="15" x14ac:dyDescent="0.3">
      <c r="B12" s="63">
        <v>8</v>
      </c>
      <c r="C12" s="37" t="s">
        <v>361</v>
      </c>
      <c r="D12" s="37" t="s">
        <v>38</v>
      </c>
      <c r="E12" s="44" t="s">
        <v>161</v>
      </c>
      <c r="F12" s="45">
        <v>2</v>
      </c>
    </row>
    <row r="13" spans="2:6" ht="15" x14ac:dyDescent="0.3">
      <c r="B13" s="63">
        <v>9</v>
      </c>
      <c r="C13" s="37" t="s">
        <v>362</v>
      </c>
      <c r="D13" s="37" t="s">
        <v>38</v>
      </c>
      <c r="E13" s="44" t="s">
        <v>161</v>
      </c>
      <c r="F13" s="45">
        <v>2</v>
      </c>
    </row>
    <row r="14" spans="2:6" ht="15" x14ac:dyDescent="0.3">
      <c r="B14" s="63">
        <v>10</v>
      </c>
      <c r="C14" s="37" t="s">
        <v>47</v>
      </c>
      <c r="D14" s="37" t="s">
        <v>88</v>
      </c>
      <c r="E14" s="44" t="s">
        <v>161</v>
      </c>
      <c r="F14" s="45">
        <v>2</v>
      </c>
    </row>
    <row r="15" spans="2:6" ht="15" x14ac:dyDescent="0.3">
      <c r="B15" s="63">
        <v>11</v>
      </c>
      <c r="C15" s="37" t="s">
        <v>105</v>
      </c>
      <c r="D15" s="37" t="s">
        <v>38</v>
      </c>
      <c r="E15" s="44" t="s">
        <v>148</v>
      </c>
      <c r="F15" s="45">
        <v>1</v>
      </c>
    </row>
    <row r="16" spans="2:6" ht="15" x14ac:dyDescent="0.3">
      <c r="B16" s="63">
        <v>12</v>
      </c>
      <c r="C16" s="37" t="s">
        <v>139</v>
      </c>
      <c r="D16" s="37" t="s">
        <v>38</v>
      </c>
      <c r="E16" s="44" t="s">
        <v>148</v>
      </c>
      <c r="F16" s="45">
        <v>1</v>
      </c>
    </row>
    <row r="17" spans="2:6" ht="15" x14ac:dyDescent="0.3">
      <c r="B17" s="63">
        <v>13</v>
      </c>
      <c r="C17" s="37" t="s">
        <v>90</v>
      </c>
      <c r="D17" s="37" t="s">
        <v>38</v>
      </c>
      <c r="E17" s="44" t="s">
        <v>148</v>
      </c>
      <c r="F17" s="45">
        <v>3</v>
      </c>
    </row>
    <row r="18" spans="2:6" ht="15" x14ac:dyDescent="0.3">
      <c r="B18" s="63">
        <v>14</v>
      </c>
      <c r="C18" s="37" t="s">
        <v>401</v>
      </c>
      <c r="D18" s="37" t="s">
        <v>38</v>
      </c>
      <c r="E18" s="44" t="s">
        <v>148</v>
      </c>
      <c r="F18" s="45">
        <v>2</v>
      </c>
    </row>
    <row r="19" spans="2:6" ht="15" x14ac:dyDescent="0.3">
      <c r="B19" s="63">
        <v>15</v>
      </c>
      <c r="C19" s="37" t="s">
        <v>85</v>
      </c>
      <c r="D19" s="37" t="s">
        <v>88</v>
      </c>
      <c r="E19" s="44" t="s">
        <v>164</v>
      </c>
      <c r="F19" s="45">
        <v>2</v>
      </c>
    </row>
    <row r="20" spans="2:6" ht="15" x14ac:dyDescent="0.3">
      <c r="B20" s="63">
        <v>16</v>
      </c>
      <c r="C20" s="37" t="s">
        <v>369</v>
      </c>
      <c r="D20" s="37" t="s">
        <v>41</v>
      </c>
      <c r="E20" s="44" t="s">
        <v>153</v>
      </c>
      <c r="F20" s="45">
        <v>2</v>
      </c>
    </row>
    <row r="21" spans="2:6" ht="15" x14ac:dyDescent="0.3">
      <c r="B21" s="63">
        <v>17</v>
      </c>
      <c r="C21" s="37" t="s">
        <v>65</v>
      </c>
      <c r="D21" s="37" t="s">
        <v>41</v>
      </c>
      <c r="E21" s="44" t="s">
        <v>153</v>
      </c>
      <c r="F21" s="45">
        <v>2</v>
      </c>
    </row>
    <row r="22" spans="2:6" ht="15" x14ac:dyDescent="0.3">
      <c r="B22" s="63">
        <v>18</v>
      </c>
      <c r="C22" s="37" t="s">
        <v>341</v>
      </c>
      <c r="D22" s="37" t="s">
        <v>41</v>
      </c>
      <c r="E22" s="44" t="s">
        <v>153</v>
      </c>
      <c r="F22" s="45">
        <v>2</v>
      </c>
    </row>
    <row r="23" spans="2:6" ht="15" x14ac:dyDescent="0.3">
      <c r="B23" s="63">
        <v>19</v>
      </c>
      <c r="C23" s="37" t="s">
        <v>89</v>
      </c>
      <c r="D23" s="37" t="s">
        <v>38</v>
      </c>
      <c r="E23" s="44" t="s">
        <v>157</v>
      </c>
      <c r="F23" s="45">
        <v>2</v>
      </c>
    </row>
    <row r="24" spans="2:6" ht="15" x14ac:dyDescent="0.3">
      <c r="B24" s="63">
        <v>20</v>
      </c>
      <c r="C24" s="37" t="s">
        <v>340</v>
      </c>
      <c r="D24" s="37" t="s">
        <v>88</v>
      </c>
      <c r="E24" s="44" t="s">
        <v>149</v>
      </c>
      <c r="F24" s="45">
        <v>2</v>
      </c>
    </row>
    <row r="25" spans="2:6" ht="15" x14ac:dyDescent="0.3">
      <c r="B25" s="63">
        <v>21</v>
      </c>
      <c r="C25" s="37" t="s">
        <v>91</v>
      </c>
      <c r="D25" s="37" t="s">
        <v>88</v>
      </c>
      <c r="E25" s="44" t="s">
        <v>149</v>
      </c>
      <c r="F25" s="45">
        <v>2</v>
      </c>
    </row>
    <row r="26" spans="2:6" ht="15" x14ac:dyDescent="0.3">
      <c r="B26" s="63">
        <v>22</v>
      </c>
      <c r="C26" s="37" t="s">
        <v>97</v>
      </c>
      <c r="D26" s="37" t="s">
        <v>38</v>
      </c>
      <c r="E26" s="44" t="s">
        <v>167</v>
      </c>
      <c r="F26" s="45">
        <v>2</v>
      </c>
    </row>
    <row r="27" spans="2:6" ht="15" x14ac:dyDescent="0.3">
      <c r="B27" s="63">
        <v>23</v>
      </c>
      <c r="C27" s="37" t="s">
        <v>274</v>
      </c>
      <c r="D27" s="37" t="s">
        <v>41</v>
      </c>
      <c r="E27" s="44" t="s">
        <v>172</v>
      </c>
      <c r="F27" s="45">
        <v>2</v>
      </c>
    </row>
    <row r="28" spans="2:6" ht="15" x14ac:dyDescent="0.3">
      <c r="B28" s="63">
        <v>24</v>
      </c>
      <c r="C28" s="37" t="s">
        <v>273</v>
      </c>
      <c r="D28" s="37" t="s">
        <v>41</v>
      </c>
      <c r="E28" s="44" t="s">
        <v>172</v>
      </c>
      <c r="F28" s="45">
        <v>2</v>
      </c>
    </row>
    <row r="29" spans="2:6" ht="15" x14ac:dyDescent="0.3">
      <c r="B29" s="63">
        <v>25</v>
      </c>
      <c r="C29" s="37" t="s">
        <v>627</v>
      </c>
      <c r="D29" s="37" t="s">
        <v>41</v>
      </c>
      <c r="E29" s="44" t="s">
        <v>172</v>
      </c>
      <c r="F29" s="45">
        <v>2</v>
      </c>
    </row>
    <row r="30" spans="2:6" ht="15" x14ac:dyDescent="0.3">
      <c r="B30" s="63">
        <v>26</v>
      </c>
      <c r="C30" s="37" t="s">
        <v>96</v>
      </c>
      <c r="D30" s="37" t="s">
        <v>38</v>
      </c>
      <c r="E30" s="44" t="s">
        <v>151</v>
      </c>
      <c r="F30" s="45">
        <v>2</v>
      </c>
    </row>
    <row r="31" spans="2:6" ht="15" x14ac:dyDescent="0.3">
      <c r="B31" s="63">
        <v>27</v>
      </c>
      <c r="C31" s="37" t="s">
        <v>135</v>
      </c>
      <c r="D31" s="37" t="s">
        <v>38</v>
      </c>
      <c r="E31" s="44" t="s">
        <v>146</v>
      </c>
      <c r="F31" s="45">
        <v>2</v>
      </c>
    </row>
    <row r="32" spans="2:6" ht="15" x14ac:dyDescent="0.3">
      <c r="B32" s="63">
        <v>28</v>
      </c>
      <c r="C32" s="37" t="s">
        <v>624</v>
      </c>
      <c r="D32" s="37" t="s">
        <v>38</v>
      </c>
      <c r="E32" s="44" t="s">
        <v>146</v>
      </c>
      <c r="F32" s="45">
        <v>2</v>
      </c>
    </row>
    <row r="33" spans="2:6" ht="15" x14ac:dyDescent="0.3">
      <c r="B33" s="63">
        <v>29</v>
      </c>
      <c r="C33" s="37" t="s">
        <v>63</v>
      </c>
      <c r="D33" s="37" t="s">
        <v>57</v>
      </c>
      <c r="E33" s="44" t="s">
        <v>195</v>
      </c>
      <c r="F33" s="45">
        <v>2</v>
      </c>
    </row>
    <row r="34" spans="2:6" ht="15" x14ac:dyDescent="0.3">
      <c r="B34" s="63">
        <v>30</v>
      </c>
      <c r="C34" s="37" t="s">
        <v>124</v>
      </c>
      <c r="D34" s="37" t="s">
        <v>38</v>
      </c>
      <c r="E34" s="55" t="s">
        <v>179</v>
      </c>
      <c r="F34" s="45">
        <v>2</v>
      </c>
    </row>
    <row r="35" spans="2:6" ht="15" x14ac:dyDescent="0.3">
      <c r="B35" s="63">
        <v>31</v>
      </c>
      <c r="C35" s="37" t="s">
        <v>178</v>
      </c>
      <c r="D35" s="37" t="s">
        <v>38</v>
      </c>
      <c r="E35" s="44" t="s">
        <v>177</v>
      </c>
      <c r="F35" s="45">
        <v>2</v>
      </c>
    </row>
    <row r="36" spans="2:6" ht="15" x14ac:dyDescent="0.3">
      <c r="B36" s="63">
        <v>32</v>
      </c>
      <c r="C36" s="37" t="s">
        <v>176</v>
      </c>
      <c r="D36" s="37" t="s">
        <v>38</v>
      </c>
      <c r="E36" s="44" t="s">
        <v>177</v>
      </c>
      <c r="F36" s="45">
        <v>2</v>
      </c>
    </row>
    <row r="37" spans="2:6" ht="15" x14ac:dyDescent="0.3">
      <c r="B37" s="63">
        <v>33</v>
      </c>
      <c r="C37" s="37" t="s">
        <v>338</v>
      </c>
      <c r="D37" s="37" t="s">
        <v>38</v>
      </c>
      <c r="E37" s="55" t="s">
        <v>168</v>
      </c>
      <c r="F37" s="45">
        <v>2</v>
      </c>
    </row>
    <row r="38" spans="2:6" ht="15" x14ac:dyDescent="0.3">
      <c r="B38" s="63">
        <v>34</v>
      </c>
      <c r="C38" s="37" t="s">
        <v>387</v>
      </c>
      <c r="D38" s="37" t="s">
        <v>38</v>
      </c>
      <c r="E38" s="55" t="s">
        <v>349</v>
      </c>
      <c r="F38" s="45">
        <v>2</v>
      </c>
    </row>
    <row r="39" spans="2:6" ht="15" x14ac:dyDescent="0.3">
      <c r="B39" s="63">
        <v>35</v>
      </c>
      <c r="C39" s="37" t="s">
        <v>388</v>
      </c>
      <c r="D39" s="37" t="s">
        <v>88</v>
      </c>
      <c r="E39" s="55" t="s">
        <v>349</v>
      </c>
      <c r="F39" s="45">
        <v>2</v>
      </c>
    </row>
    <row r="40" spans="2:6" ht="15" x14ac:dyDescent="0.3">
      <c r="B40" s="63">
        <v>36</v>
      </c>
      <c r="C40" s="37" t="s">
        <v>466</v>
      </c>
      <c r="D40" s="37" t="s">
        <v>88</v>
      </c>
      <c r="E40" s="100" t="s">
        <v>467</v>
      </c>
      <c r="F40" s="45">
        <v>2</v>
      </c>
    </row>
    <row r="41" spans="2:6" ht="15" x14ac:dyDescent="0.3">
      <c r="B41" s="63">
        <v>37</v>
      </c>
      <c r="C41" s="37" t="s">
        <v>523</v>
      </c>
      <c r="D41" s="37" t="s">
        <v>38</v>
      </c>
      <c r="E41" s="100" t="s">
        <v>467</v>
      </c>
      <c r="F41" s="45">
        <v>2</v>
      </c>
    </row>
    <row r="42" spans="2:6" ht="15" x14ac:dyDescent="0.3">
      <c r="B42" s="63">
        <v>38</v>
      </c>
      <c r="C42" s="37" t="s">
        <v>482</v>
      </c>
      <c r="D42" s="37" t="s">
        <v>88</v>
      </c>
      <c r="E42" s="44" t="s">
        <v>480</v>
      </c>
      <c r="F42" s="45">
        <v>2</v>
      </c>
    </row>
    <row r="43" spans="2:6" ht="15" x14ac:dyDescent="0.3">
      <c r="B43" s="63">
        <v>39</v>
      </c>
      <c r="C43" s="37" t="s">
        <v>615</v>
      </c>
      <c r="D43" s="37" t="s">
        <v>38</v>
      </c>
      <c r="E43" s="44" t="s">
        <v>610</v>
      </c>
      <c r="F43" s="45">
        <v>1</v>
      </c>
    </row>
    <row r="44" spans="2:6" ht="15" x14ac:dyDescent="0.3">
      <c r="B44" s="63">
        <v>40</v>
      </c>
      <c r="C44" s="37" t="s">
        <v>620</v>
      </c>
      <c r="D44" s="37" t="s">
        <v>88</v>
      </c>
      <c r="E44" s="44" t="s">
        <v>621</v>
      </c>
      <c r="F44" s="45">
        <v>1</v>
      </c>
    </row>
    <row r="45" spans="2:6" ht="15" x14ac:dyDescent="0.3">
      <c r="B45" s="63">
        <v>41</v>
      </c>
      <c r="C45" s="37" t="s">
        <v>622</v>
      </c>
      <c r="D45" s="37" t="s">
        <v>88</v>
      </c>
      <c r="E45" s="44" t="s">
        <v>621</v>
      </c>
      <c r="F45" s="45">
        <v>1</v>
      </c>
    </row>
    <row r="46" spans="2:6" ht="15" x14ac:dyDescent="0.3">
      <c r="B46" s="63">
        <v>42</v>
      </c>
      <c r="C46" s="37" t="s">
        <v>623</v>
      </c>
      <c r="D46" s="37" t="s">
        <v>88</v>
      </c>
      <c r="E46" s="44" t="s">
        <v>611</v>
      </c>
      <c r="F46" s="45">
        <v>1</v>
      </c>
    </row>
    <row r="47" spans="2:6" ht="15" x14ac:dyDescent="0.3">
      <c r="B47" s="63">
        <v>43</v>
      </c>
      <c r="C47" s="37" t="s">
        <v>542</v>
      </c>
      <c r="D47" s="37" t="s">
        <v>88</v>
      </c>
      <c r="E47" s="44" t="s">
        <v>592</v>
      </c>
      <c r="F47" s="45">
        <v>2</v>
      </c>
    </row>
    <row r="48" spans="2:6" ht="15" x14ac:dyDescent="0.3">
      <c r="B48" s="63">
        <v>44</v>
      </c>
      <c r="C48" s="37" t="s">
        <v>625</v>
      </c>
      <c r="D48" s="37" t="s">
        <v>88</v>
      </c>
      <c r="E48" s="44" t="s">
        <v>592</v>
      </c>
      <c r="F48" s="45">
        <v>2</v>
      </c>
    </row>
    <row r="49" spans="2:6" ht="15" x14ac:dyDescent="0.3">
      <c r="B49" s="63">
        <v>45</v>
      </c>
      <c r="C49" s="37" t="s">
        <v>259</v>
      </c>
      <c r="D49" s="37" t="s">
        <v>88</v>
      </c>
      <c r="E49" s="44" t="s">
        <v>197</v>
      </c>
      <c r="F49" s="45">
        <v>2</v>
      </c>
    </row>
    <row r="50" spans="2:6" ht="15" x14ac:dyDescent="0.3">
      <c r="B50" s="63">
        <v>46</v>
      </c>
      <c r="C50" s="37" t="s">
        <v>133</v>
      </c>
      <c r="D50" s="37" t="s">
        <v>88</v>
      </c>
      <c r="E50" s="44" t="s">
        <v>138</v>
      </c>
      <c r="F50" s="45">
        <v>3</v>
      </c>
    </row>
    <row r="51" spans="2:6" ht="15" x14ac:dyDescent="0.3">
      <c r="B51" s="63">
        <v>47</v>
      </c>
      <c r="C51" s="37" t="s">
        <v>626</v>
      </c>
      <c r="D51" s="37" t="s">
        <v>38</v>
      </c>
      <c r="E51" s="44" t="s">
        <v>289</v>
      </c>
      <c r="F51" s="45">
        <v>2</v>
      </c>
    </row>
    <row r="52" spans="2:6" ht="15" x14ac:dyDescent="0.3">
      <c r="B52" s="63">
        <v>48</v>
      </c>
      <c r="C52" s="37" t="s">
        <v>492</v>
      </c>
      <c r="D52" s="37" t="s">
        <v>88</v>
      </c>
      <c r="E52" s="44" t="s">
        <v>264</v>
      </c>
      <c r="F52" s="45">
        <v>3</v>
      </c>
    </row>
    <row r="53" spans="2:6" ht="15" x14ac:dyDescent="0.3">
      <c r="B53" s="63">
        <v>49</v>
      </c>
      <c r="C53" s="37" t="s">
        <v>547</v>
      </c>
      <c r="D53" s="37" t="s">
        <v>57</v>
      </c>
      <c r="E53" s="44" t="s">
        <v>467</v>
      </c>
      <c r="F53" s="45">
        <v>2</v>
      </c>
    </row>
    <row r="54" spans="2:6" ht="15" x14ac:dyDescent="0.3">
      <c r="B54" s="63">
        <v>50</v>
      </c>
      <c r="C54" s="37"/>
      <c r="D54" s="37"/>
      <c r="E54" s="44"/>
      <c r="F54" s="45"/>
    </row>
    <row r="55" spans="2:6" ht="15" x14ac:dyDescent="0.3">
      <c r="B55" s="63">
        <v>51</v>
      </c>
      <c r="C55" s="37"/>
      <c r="D55" s="37"/>
      <c r="E55" s="44"/>
      <c r="F55" s="45"/>
    </row>
    <row r="56" spans="2:6" ht="15" x14ac:dyDescent="0.3">
      <c r="B56" s="63">
        <v>52</v>
      </c>
      <c r="C56" s="37"/>
      <c r="D56" s="37"/>
      <c r="E56" s="44"/>
      <c r="F56" s="45"/>
    </row>
    <row r="57" spans="2:6" ht="15" x14ac:dyDescent="0.3">
      <c r="B57" s="63">
        <v>53</v>
      </c>
      <c r="C57" s="37"/>
      <c r="D57" s="37"/>
      <c r="E57" s="44"/>
      <c r="F57" s="45"/>
    </row>
    <row r="58" spans="2:6" ht="15" x14ac:dyDescent="0.3">
      <c r="B58" s="63">
        <v>54</v>
      </c>
      <c r="C58" s="37"/>
      <c r="D58" s="37"/>
      <c r="E58" s="44"/>
      <c r="F58" s="45"/>
    </row>
    <row r="59" spans="2:6" ht="16.2" thickBot="1" x14ac:dyDescent="0.35">
      <c r="B59" s="241" t="s">
        <v>629</v>
      </c>
      <c r="C59" s="242"/>
      <c r="D59" s="242"/>
      <c r="E59" s="243"/>
      <c r="F59" s="65">
        <f>SUM(F5:F58)</f>
        <v>93</v>
      </c>
    </row>
  </sheetData>
  <mergeCells count="7">
    <mergeCell ref="B59:E59"/>
    <mergeCell ref="B2:F2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C508-91A8-4510-A661-B8E929365714}">
  <dimension ref="B2:X63"/>
  <sheetViews>
    <sheetView workbookViewId="0">
      <pane ySplit="2" topLeftCell="A3" activePane="bottomLeft" state="frozen"/>
      <selection activeCell="B1" sqref="B1"/>
      <selection pane="bottomLeft" activeCell="Y6" sqref="Y6"/>
    </sheetView>
  </sheetViews>
  <sheetFormatPr defaultRowHeight="14.4" x14ac:dyDescent="0.3"/>
  <cols>
    <col min="1" max="1" width="2.88671875" customWidth="1"/>
    <col min="2" max="2" width="6" bestFit="1" customWidth="1"/>
    <col min="3" max="3" width="21.6640625" bestFit="1" customWidth="1"/>
    <col min="4" max="4" width="13.33203125" bestFit="1" customWidth="1"/>
    <col min="5" max="5" width="12.6640625" bestFit="1" customWidth="1"/>
    <col min="6" max="8" width="11.6640625" style="78" bestFit="1" customWidth="1"/>
    <col min="9" max="9" width="10.77734375" style="78" bestFit="1" customWidth="1"/>
    <col min="10" max="10" width="10.77734375" style="78" customWidth="1"/>
    <col min="11" max="11" width="10.77734375" style="78" bestFit="1" customWidth="1"/>
    <col min="12" max="12" width="10.5546875" style="78" customWidth="1"/>
    <col min="13" max="13" width="10.77734375" style="78" bestFit="1" customWidth="1"/>
    <col min="14" max="14" width="12.5546875" style="78" bestFit="1" customWidth="1"/>
    <col min="15" max="19" width="13.21875" style="78" customWidth="1"/>
    <col min="20" max="21" width="14.21875" style="78" customWidth="1"/>
    <col min="22" max="22" width="14.77734375" style="78" customWidth="1"/>
    <col min="23" max="23" width="11.6640625" style="78" customWidth="1"/>
    <col min="24" max="24" width="17.5546875" customWidth="1"/>
  </cols>
  <sheetData>
    <row r="2" spans="2:24" ht="62.4" x14ac:dyDescent="0.3">
      <c r="B2" s="2" t="s">
        <v>0</v>
      </c>
      <c r="C2" s="2" t="s">
        <v>1</v>
      </c>
      <c r="D2" s="2" t="s">
        <v>529</v>
      </c>
      <c r="E2" s="2" t="s">
        <v>404</v>
      </c>
      <c r="F2" s="2" t="s">
        <v>563</v>
      </c>
      <c r="G2" s="2" t="s">
        <v>572</v>
      </c>
      <c r="H2" s="2" t="s">
        <v>671</v>
      </c>
      <c r="I2" s="2" t="s">
        <v>670</v>
      </c>
      <c r="J2" s="2" t="s">
        <v>669</v>
      </c>
      <c r="K2" s="2" t="s">
        <v>668</v>
      </c>
      <c r="L2" s="2" t="s">
        <v>573</v>
      </c>
      <c r="M2" s="2" t="s">
        <v>574</v>
      </c>
      <c r="N2" s="2" t="s">
        <v>575</v>
      </c>
      <c r="O2" s="2" t="s">
        <v>665</v>
      </c>
      <c r="P2" s="2" t="s">
        <v>602</v>
      </c>
      <c r="Q2" s="2" t="s">
        <v>603</v>
      </c>
      <c r="R2" s="2" t="s">
        <v>666</v>
      </c>
      <c r="S2" s="2" t="s">
        <v>667</v>
      </c>
      <c r="T2" s="2" t="s">
        <v>564</v>
      </c>
      <c r="U2" s="2" t="s">
        <v>470</v>
      </c>
      <c r="V2" s="2" t="s">
        <v>566</v>
      </c>
      <c r="W2" s="2" t="s">
        <v>565</v>
      </c>
      <c r="X2" s="2" t="s">
        <v>631</v>
      </c>
    </row>
    <row r="3" spans="2:24" ht="15" x14ac:dyDescent="0.3">
      <c r="B3" s="277"/>
      <c r="C3" s="278"/>
      <c r="D3" s="278"/>
      <c r="E3" s="279"/>
      <c r="F3" s="166">
        <v>46156</v>
      </c>
      <c r="G3" s="166">
        <v>46163</v>
      </c>
      <c r="H3" s="166">
        <v>46166</v>
      </c>
      <c r="I3" s="166">
        <v>46180</v>
      </c>
      <c r="J3" s="166">
        <v>46186</v>
      </c>
      <c r="K3" s="166">
        <v>46187</v>
      </c>
      <c r="L3" s="166">
        <v>46189</v>
      </c>
      <c r="M3" s="166">
        <v>46190</v>
      </c>
      <c r="N3" s="166">
        <v>46191</v>
      </c>
      <c r="O3" s="166">
        <v>46194</v>
      </c>
      <c r="P3" s="166">
        <v>46196</v>
      </c>
      <c r="Q3" s="166">
        <v>46197</v>
      </c>
      <c r="R3" s="166"/>
      <c r="S3" s="166"/>
      <c r="T3" s="166">
        <v>46219</v>
      </c>
      <c r="U3" s="166">
        <v>46220</v>
      </c>
      <c r="V3" s="166">
        <v>46220</v>
      </c>
      <c r="W3" s="166">
        <v>46221</v>
      </c>
      <c r="X3" s="166">
        <v>46249</v>
      </c>
    </row>
    <row r="4" spans="2:24" ht="15" x14ac:dyDescent="0.3">
      <c r="B4" s="7">
        <v>1</v>
      </c>
      <c r="C4" s="52" t="s">
        <v>138</v>
      </c>
      <c r="D4" s="53">
        <v>9112180934</v>
      </c>
      <c r="E4" s="44" t="s">
        <v>405</v>
      </c>
      <c r="F4" s="7" t="s">
        <v>222</v>
      </c>
      <c r="G4" s="7" t="s">
        <v>222</v>
      </c>
      <c r="H4" s="7"/>
      <c r="I4" s="7"/>
      <c r="J4" s="7"/>
      <c r="K4" s="7"/>
      <c r="L4" s="7" t="s">
        <v>222</v>
      </c>
      <c r="M4" s="7" t="s">
        <v>222</v>
      </c>
      <c r="N4" s="7" t="s">
        <v>222</v>
      </c>
      <c r="O4" s="7"/>
      <c r="P4" s="7" t="s">
        <v>222</v>
      </c>
      <c r="Q4" s="7" t="s">
        <v>222</v>
      </c>
      <c r="R4" s="7"/>
      <c r="S4" s="7"/>
      <c r="T4" s="7"/>
      <c r="U4" s="7"/>
      <c r="V4" s="7"/>
      <c r="W4" s="7"/>
      <c r="X4" s="7"/>
    </row>
    <row r="5" spans="2:24" ht="15" x14ac:dyDescent="0.3">
      <c r="B5" s="7">
        <v>2</v>
      </c>
      <c r="C5" s="52" t="s">
        <v>140</v>
      </c>
      <c r="D5" s="53">
        <v>8989612031</v>
      </c>
      <c r="E5" s="44" t="s">
        <v>405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2:24" ht="15" x14ac:dyDescent="0.3">
      <c r="B6" s="7">
        <v>3</v>
      </c>
      <c r="C6" s="52" t="s">
        <v>141</v>
      </c>
      <c r="D6" s="53">
        <v>9890109096</v>
      </c>
      <c r="E6" s="44" t="s">
        <v>405</v>
      </c>
      <c r="F6" s="7"/>
      <c r="G6" s="7"/>
      <c r="H6" s="7"/>
      <c r="I6" s="7" t="s">
        <v>222</v>
      </c>
      <c r="J6" s="7" t="s">
        <v>222</v>
      </c>
      <c r="K6" s="7" t="s">
        <v>222</v>
      </c>
      <c r="L6" s="7"/>
      <c r="M6" s="7" t="s">
        <v>222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2:24" ht="15" x14ac:dyDescent="0.3">
      <c r="B7" s="7">
        <v>4</v>
      </c>
      <c r="C7" s="52" t="s">
        <v>146</v>
      </c>
      <c r="D7" s="53">
        <v>9881136863</v>
      </c>
      <c r="E7" s="44" t="s">
        <v>405</v>
      </c>
      <c r="F7" s="7"/>
      <c r="G7" s="7"/>
      <c r="H7" s="7"/>
      <c r="I7" s="7" t="s">
        <v>222</v>
      </c>
      <c r="J7" s="7"/>
      <c r="K7" s="7" t="s">
        <v>222</v>
      </c>
      <c r="L7" s="7"/>
      <c r="M7" s="7"/>
      <c r="N7" s="7"/>
      <c r="O7" s="7"/>
      <c r="P7" s="7"/>
      <c r="Q7" s="7"/>
      <c r="R7" s="7"/>
      <c r="S7" s="7"/>
      <c r="T7" s="7"/>
      <c r="U7" s="7" t="s">
        <v>222</v>
      </c>
      <c r="V7" s="7" t="s">
        <v>222</v>
      </c>
      <c r="W7" s="7" t="s">
        <v>222</v>
      </c>
      <c r="X7" s="7"/>
    </row>
    <row r="8" spans="2:24" ht="15" x14ac:dyDescent="0.3">
      <c r="B8" s="7">
        <v>5</v>
      </c>
      <c r="C8" s="52" t="s">
        <v>147</v>
      </c>
      <c r="D8" s="53">
        <v>9167071968</v>
      </c>
      <c r="E8" s="93" t="s">
        <v>409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 t="s">
        <v>222</v>
      </c>
      <c r="U8" s="7" t="s">
        <v>222</v>
      </c>
      <c r="V8" s="7" t="s">
        <v>222</v>
      </c>
      <c r="W8" s="7" t="s">
        <v>222</v>
      </c>
      <c r="X8" s="7"/>
    </row>
    <row r="9" spans="2:24" ht="15" x14ac:dyDescent="0.3">
      <c r="B9" s="7">
        <v>6</v>
      </c>
      <c r="C9" s="52" t="s">
        <v>148</v>
      </c>
      <c r="D9" s="53">
        <v>9702005707</v>
      </c>
      <c r="E9" s="93" t="s">
        <v>409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222</v>
      </c>
      <c r="U9" s="7" t="s">
        <v>222</v>
      </c>
      <c r="V9" s="7" t="s">
        <v>222</v>
      </c>
      <c r="W9" s="7" t="s">
        <v>222</v>
      </c>
      <c r="X9" s="7"/>
    </row>
    <row r="10" spans="2:24" ht="15" x14ac:dyDescent="0.3">
      <c r="B10" s="7">
        <v>7</v>
      </c>
      <c r="C10" s="52" t="s">
        <v>149</v>
      </c>
      <c r="D10" s="53">
        <v>9845296389</v>
      </c>
      <c r="E10" s="52" t="s">
        <v>413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2:24" ht="15" x14ac:dyDescent="0.3">
      <c r="B11" s="7">
        <v>8</v>
      </c>
      <c r="C11" s="52" t="s">
        <v>150</v>
      </c>
      <c r="D11" s="53">
        <v>9850906696</v>
      </c>
      <c r="E11" s="44" t="s">
        <v>405</v>
      </c>
      <c r="F11" s="7" t="s">
        <v>222</v>
      </c>
      <c r="G11" s="7"/>
      <c r="H11" s="7"/>
      <c r="I11" s="7"/>
      <c r="J11" s="7"/>
      <c r="K11" s="7"/>
      <c r="L11" s="7" t="s">
        <v>222</v>
      </c>
      <c r="M11" s="7" t="s">
        <v>222</v>
      </c>
      <c r="N11" s="7"/>
      <c r="O11" s="7"/>
      <c r="P11" s="7" t="s">
        <v>222</v>
      </c>
      <c r="Q11" s="7" t="s">
        <v>222</v>
      </c>
      <c r="R11" s="7"/>
      <c r="S11" s="7"/>
      <c r="T11" s="7"/>
      <c r="U11" s="7"/>
      <c r="V11" s="7"/>
      <c r="W11" s="7"/>
      <c r="X11" s="7"/>
    </row>
    <row r="12" spans="2:24" ht="15" x14ac:dyDescent="0.3">
      <c r="B12" s="7">
        <v>9</v>
      </c>
      <c r="C12" s="52" t="s">
        <v>151</v>
      </c>
      <c r="D12" s="53">
        <v>9898058825</v>
      </c>
      <c r="E12" s="44" t="s">
        <v>405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2:24" ht="15" x14ac:dyDescent="0.3">
      <c r="B13" s="7">
        <v>10</v>
      </c>
      <c r="C13" s="52" t="s">
        <v>152</v>
      </c>
      <c r="D13" s="53">
        <v>9968037111</v>
      </c>
      <c r="E13" s="52" t="s">
        <v>414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2:24" ht="15" x14ac:dyDescent="0.3">
      <c r="B14" s="7">
        <v>11</v>
      </c>
      <c r="C14" s="52" t="s">
        <v>153</v>
      </c>
      <c r="D14" s="53">
        <v>9821321162</v>
      </c>
      <c r="E14" s="93" t="s">
        <v>409</v>
      </c>
      <c r="F14" s="7"/>
      <c r="G14" s="7"/>
      <c r="H14" s="7" t="s">
        <v>222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2:24" ht="15" x14ac:dyDescent="0.3">
      <c r="B15" s="7">
        <v>12</v>
      </c>
      <c r="C15" s="52" t="s">
        <v>160</v>
      </c>
      <c r="D15" s="53">
        <v>9819720728</v>
      </c>
      <c r="E15" s="93" t="s">
        <v>409</v>
      </c>
      <c r="F15" s="7" t="s">
        <v>222</v>
      </c>
      <c r="G15" s="7" t="s">
        <v>222</v>
      </c>
      <c r="H15" s="7"/>
      <c r="I15" s="7"/>
      <c r="J15" s="7"/>
      <c r="K15" s="7"/>
      <c r="L15" s="7" t="s">
        <v>222</v>
      </c>
      <c r="M15" s="7" t="s">
        <v>222</v>
      </c>
      <c r="N15" s="7" t="s">
        <v>222</v>
      </c>
      <c r="O15" s="7"/>
      <c r="P15" s="7"/>
      <c r="Q15" s="7"/>
      <c r="R15" s="7"/>
      <c r="S15" s="7"/>
      <c r="T15" s="7" t="s">
        <v>222</v>
      </c>
      <c r="U15" s="7" t="s">
        <v>222</v>
      </c>
      <c r="V15" s="7" t="s">
        <v>222</v>
      </c>
      <c r="W15" s="7" t="s">
        <v>222</v>
      </c>
      <c r="X15" s="7"/>
    </row>
    <row r="16" spans="2:24" ht="15" x14ac:dyDescent="0.3">
      <c r="B16" s="7">
        <v>13</v>
      </c>
      <c r="C16" s="52" t="s">
        <v>155</v>
      </c>
      <c r="D16" s="53">
        <v>9960692553</v>
      </c>
      <c r="E16" s="44" t="s">
        <v>405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2:24" ht="15" x14ac:dyDescent="0.3">
      <c r="B17" s="7">
        <v>14</v>
      </c>
      <c r="C17" s="52" t="s">
        <v>172</v>
      </c>
      <c r="D17" s="53">
        <v>9999325599</v>
      </c>
      <c r="E17" s="94" t="s">
        <v>408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2:24" ht="15" x14ac:dyDescent="0.3">
      <c r="B18" s="7">
        <v>15</v>
      </c>
      <c r="C18" s="52" t="s">
        <v>157</v>
      </c>
      <c r="D18" s="53">
        <v>7744974014</v>
      </c>
      <c r="E18" s="44" t="s">
        <v>405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2:24" ht="15" x14ac:dyDescent="0.3">
      <c r="B19" s="7">
        <v>16</v>
      </c>
      <c r="C19" s="52" t="s">
        <v>164</v>
      </c>
      <c r="D19" s="53">
        <v>9673330308</v>
      </c>
      <c r="E19" s="44" t="s">
        <v>405</v>
      </c>
      <c r="F19" s="7"/>
      <c r="G19" s="7" t="s">
        <v>222</v>
      </c>
      <c r="H19" s="7" t="s">
        <v>222</v>
      </c>
      <c r="I19" s="7" t="s">
        <v>222</v>
      </c>
      <c r="J19" s="7"/>
      <c r="K19" s="7" t="s">
        <v>222</v>
      </c>
      <c r="L19" s="7" t="s">
        <v>222</v>
      </c>
      <c r="M19" s="7"/>
      <c r="N19" s="7" t="s">
        <v>222</v>
      </c>
      <c r="O19" s="7" t="s">
        <v>222</v>
      </c>
      <c r="P19" s="7" t="s">
        <v>222</v>
      </c>
      <c r="Q19" s="7" t="s">
        <v>222</v>
      </c>
      <c r="R19" s="7"/>
      <c r="S19" s="7"/>
      <c r="T19" s="7"/>
      <c r="U19" s="7"/>
      <c r="V19" s="7"/>
      <c r="W19" s="7"/>
      <c r="X19" s="7"/>
    </row>
    <row r="20" spans="2:24" ht="15" x14ac:dyDescent="0.3">
      <c r="B20" s="7">
        <v>17</v>
      </c>
      <c r="C20" s="52" t="s">
        <v>170</v>
      </c>
      <c r="D20" s="53">
        <v>9422871050</v>
      </c>
      <c r="E20" s="44" t="s">
        <v>405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2:24" ht="15" x14ac:dyDescent="0.3">
      <c r="B21" s="7">
        <v>18</v>
      </c>
      <c r="C21" s="52" t="s">
        <v>167</v>
      </c>
      <c r="D21" s="53">
        <v>9725950593</v>
      </c>
      <c r="E21" s="52" t="s">
        <v>412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2:24" ht="15" x14ac:dyDescent="0.3">
      <c r="B22" s="7">
        <v>19</v>
      </c>
      <c r="C22" s="52" t="s">
        <v>165</v>
      </c>
      <c r="D22" s="53">
        <v>9506030459</v>
      </c>
      <c r="E22" s="44" t="s">
        <v>405</v>
      </c>
      <c r="F22" s="7"/>
      <c r="G22" s="7"/>
      <c r="H22" s="7"/>
      <c r="I22" s="7"/>
      <c r="J22" s="7"/>
      <c r="K22" s="7"/>
      <c r="L22" s="7"/>
      <c r="M22" s="7"/>
      <c r="N22" s="7" t="s">
        <v>222</v>
      </c>
      <c r="O22" s="7" t="s">
        <v>222</v>
      </c>
      <c r="P22" s="7"/>
      <c r="Q22" s="7"/>
      <c r="R22" s="7"/>
      <c r="S22" s="7"/>
      <c r="T22" s="7"/>
      <c r="U22" s="7"/>
      <c r="V22" s="7"/>
      <c r="W22" s="7"/>
      <c r="X22" s="7"/>
    </row>
    <row r="23" spans="2:24" ht="15" x14ac:dyDescent="0.3">
      <c r="B23" s="7">
        <v>20</v>
      </c>
      <c r="C23" s="52" t="s">
        <v>168</v>
      </c>
      <c r="D23" s="53">
        <v>9158701136</v>
      </c>
      <c r="E23" s="44" t="s">
        <v>405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 t="s">
        <v>222</v>
      </c>
      <c r="U23" s="7" t="s">
        <v>222</v>
      </c>
      <c r="V23" s="7" t="s">
        <v>222</v>
      </c>
      <c r="W23" s="7" t="s">
        <v>222</v>
      </c>
      <c r="X23" s="7"/>
    </row>
    <row r="24" spans="2:24" ht="15" x14ac:dyDescent="0.3">
      <c r="B24" s="7">
        <v>21</v>
      </c>
      <c r="C24" s="52" t="s">
        <v>191</v>
      </c>
      <c r="D24" s="53">
        <v>9922909009</v>
      </c>
      <c r="E24" s="44" t="s">
        <v>405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ht="15" x14ac:dyDescent="0.3">
      <c r="B25" s="7">
        <v>22</v>
      </c>
      <c r="C25" s="52" t="s">
        <v>195</v>
      </c>
      <c r="D25" s="53">
        <v>8861309072</v>
      </c>
      <c r="E25" s="44" t="s">
        <v>405</v>
      </c>
      <c r="F25" s="7" t="s">
        <v>222</v>
      </c>
      <c r="G25" s="7" t="s">
        <v>222</v>
      </c>
      <c r="H25" s="7"/>
      <c r="I25" s="7"/>
      <c r="J25" s="7"/>
      <c r="K25" s="7"/>
      <c r="L25" s="7" t="s">
        <v>222</v>
      </c>
      <c r="M25" s="7" t="s">
        <v>222</v>
      </c>
      <c r="N25" s="7" t="s">
        <v>222</v>
      </c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2:24" ht="15" x14ac:dyDescent="0.3">
      <c r="B26" s="7">
        <v>23</v>
      </c>
      <c r="C26" s="52" t="s">
        <v>287</v>
      </c>
      <c r="D26" s="53">
        <v>9820083418</v>
      </c>
      <c r="E26" s="44" t="s">
        <v>405</v>
      </c>
      <c r="F26" s="7"/>
      <c r="G26" s="7" t="s">
        <v>222</v>
      </c>
      <c r="H26" s="7" t="s">
        <v>222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 t="s">
        <v>222</v>
      </c>
      <c r="U26" s="7" t="s">
        <v>222</v>
      </c>
      <c r="V26" s="7" t="s">
        <v>222</v>
      </c>
      <c r="W26" s="7" t="s">
        <v>222</v>
      </c>
      <c r="X26" s="7"/>
    </row>
    <row r="27" spans="2:24" ht="15" x14ac:dyDescent="0.3">
      <c r="B27" s="7">
        <v>24</v>
      </c>
      <c r="C27" s="52" t="s">
        <v>159</v>
      </c>
      <c r="D27" s="53">
        <v>7977097397</v>
      </c>
      <c r="E27" s="44" t="s">
        <v>405</v>
      </c>
      <c r="F27" s="7" t="s">
        <v>222</v>
      </c>
      <c r="G27" s="7" t="s">
        <v>222</v>
      </c>
      <c r="H27" s="7" t="s">
        <v>222</v>
      </c>
      <c r="I27" s="7" t="s">
        <v>222</v>
      </c>
      <c r="J27" s="7" t="s">
        <v>222</v>
      </c>
      <c r="K27" s="7" t="s">
        <v>222</v>
      </c>
      <c r="L27" s="7" t="s">
        <v>222</v>
      </c>
      <c r="M27" s="7" t="s">
        <v>222</v>
      </c>
      <c r="N27" s="7" t="s">
        <v>222</v>
      </c>
      <c r="O27" s="7" t="s">
        <v>222</v>
      </c>
      <c r="P27" s="7" t="s">
        <v>222</v>
      </c>
      <c r="Q27" s="7" t="s">
        <v>222</v>
      </c>
      <c r="R27" s="7"/>
      <c r="S27" s="7"/>
      <c r="T27" s="7" t="s">
        <v>222</v>
      </c>
      <c r="U27" s="7" t="s">
        <v>222</v>
      </c>
      <c r="V27" s="7" t="s">
        <v>222</v>
      </c>
      <c r="W27" s="7" t="s">
        <v>222</v>
      </c>
      <c r="X27" s="7"/>
    </row>
    <row r="28" spans="2:24" ht="15" x14ac:dyDescent="0.3">
      <c r="B28" s="7">
        <v>25</v>
      </c>
      <c r="C28" s="52" t="s">
        <v>476</v>
      </c>
      <c r="D28" s="53">
        <v>9819477153</v>
      </c>
      <c r="E28" s="93" t="s">
        <v>409</v>
      </c>
      <c r="F28" s="7" t="s">
        <v>222</v>
      </c>
      <c r="G28" s="7" t="s">
        <v>222</v>
      </c>
      <c r="H28" s="7" t="s">
        <v>222</v>
      </c>
      <c r="I28" s="7"/>
      <c r="J28" s="7"/>
      <c r="K28" s="7"/>
      <c r="L28" s="7" t="s">
        <v>222</v>
      </c>
      <c r="M28" s="7" t="s">
        <v>222</v>
      </c>
      <c r="N28" s="7" t="s">
        <v>222</v>
      </c>
      <c r="O28" s="7"/>
      <c r="P28" s="7"/>
      <c r="Q28" s="7"/>
      <c r="R28" s="7"/>
      <c r="S28" s="7"/>
      <c r="T28" s="7" t="s">
        <v>222</v>
      </c>
      <c r="U28" s="7" t="s">
        <v>222</v>
      </c>
      <c r="V28" s="7" t="s">
        <v>222</v>
      </c>
      <c r="W28" s="7" t="s">
        <v>222</v>
      </c>
      <c r="X28" s="7"/>
    </row>
    <row r="29" spans="2:24" ht="15" x14ac:dyDescent="0.3">
      <c r="B29" s="7">
        <v>26</v>
      </c>
      <c r="C29" s="52" t="s">
        <v>196</v>
      </c>
      <c r="D29" s="53">
        <v>9372866399</v>
      </c>
      <c r="E29" s="44" t="s">
        <v>405</v>
      </c>
      <c r="F29" s="7"/>
      <c r="G29" s="7"/>
      <c r="H29" s="7" t="s">
        <v>222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2:24" ht="15" x14ac:dyDescent="0.3">
      <c r="B30" s="7">
        <v>27</v>
      </c>
      <c r="C30" s="52" t="s">
        <v>197</v>
      </c>
      <c r="D30" s="53">
        <v>9833857188</v>
      </c>
      <c r="E30" s="44" t="s">
        <v>405</v>
      </c>
      <c r="F30" s="7" t="s">
        <v>222</v>
      </c>
      <c r="G30" s="7"/>
      <c r="H30" s="7"/>
      <c r="I30" s="7" t="s">
        <v>222</v>
      </c>
      <c r="J30" s="7" t="s">
        <v>222</v>
      </c>
      <c r="K30" s="7"/>
      <c r="L30" s="7"/>
      <c r="M30" s="7"/>
      <c r="N30" s="7"/>
      <c r="O30" s="7"/>
      <c r="P30" s="7"/>
      <c r="Q30" s="7"/>
      <c r="R30" s="7"/>
      <c r="S30" s="7"/>
      <c r="T30" s="7" t="s">
        <v>222</v>
      </c>
      <c r="U30" s="7" t="s">
        <v>222</v>
      </c>
      <c r="V30" s="7" t="s">
        <v>222</v>
      </c>
      <c r="W30" s="7" t="s">
        <v>222</v>
      </c>
      <c r="X30" s="7"/>
    </row>
    <row r="31" spans="2:24" ht="15" x14ac:dyDescent="0.3">
      <c r="B31" s="7">
        <v>28</v>
      </c>
      <c r="C31" s="52" t="s">
        <v>169</v>
      </c>
      <c r="D31" s="53">
        <v>7219066362</v>
      </c>
      <c r="E31" s="44" t="s">
        <v>405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2:24" ht="15" x14ac:dyDescent="0.3">
      <c r="B32" s="7">
        <v>29</v>
      </c>
      <c r="C32" s="52" t="s">
        <v>225</v>
      </c>
      <c r="D32" s="53">
        <v>9665533344</v>
      </c>
      <c r="E32" s="44" t="s">
        <v>405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2:24" ht="15" x14ac:dyDescent="0.3">
      <c r="B33" s="7">
        <v>30</v>
      </c>
      <c r="C33" s="52" t="s">
        <v>267</v>
      </c>
      <c r="D33" s="53">
        <v>9582588116</v>
      </c>
      <c r="E33" s="52" t="s">
        <v>411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2:24" ht="15" x14ac:dyDescent="0.3">
      <c r="B34" s="7">
        <v>31</v>
      </c>
      <c r="C34" s="52" t="s">
        <v>315</v>
      </c>
      <c r="D34" s="53">
        <v>9324390808</v>
      </c>
      <c r="E34" s="93" t="s">
        <v>409</v>
      </c>
      <c r="F34" s="7"/>
      <c r="G34" s="7" t="s">
        <v>222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2:24" ht="15" x14ac:dyDescent="0.3">
      <c r="B35" s="7">
        <v>32</v>
      </c>
      <c r="C35" s="52" t="s">
        <v>316</v>
      </c>
      <c r="D35" s="53">
        <v>9599650155</v>
      </c>
      <c r="E35" s="94" t="s">
        <v>408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2:24" ht="15" x14ac:dyDescent="0.3">
      <c r="B36" s="7">
        <v>33</v>
      </c>
      <c r="C36" s="52" t="s">
        <v>348</v>
      </c>
      <c r="D36" s="53">
        <v>9923106321</v>
      </c>
      <c r="E36" s="101" t="s">
        <v>407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2:24" ht="15" x14ac:dyDescent="0.3">
      <c r="B37" s="7">
        <v>34</v>
      </c>
      <c r="C37" s="52" t="s">
        <v>349</v>
      </c>
      <c r="D37" s="53">
        <v>9823869350</v>
      </c>
      <c r="E37" s="101" t="s">
        <v>407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2:24" ht="15" x14ac:dyDescent="0.3">
      <c r="B38" s="7">
        <v>35</v>
      </c>
      <c r="C38" s="52" t="s">
        <v>390</v>
      </c>
      <c r="D38" s="53">
        <v>7702044457</v>
      </c>
      <c r="E38" s="52" t="s">
        <v>406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 t="s">
        <v>222</v>
      </c>
      <c r="U38" s="7" t="s">
        <v>222</v>
      </c>
      <c r="V38" s="7" t="s">
        <v>222</v>
      </c>
      <c r="W38" s="7" t="s">
        <v>222</v>
      </c>
      <c r="X38" s="7"/>
    </row>
    <row r="39" spans="2:24" ht="15" x14ac:dyDescent="0.3">
      <c r="B39" s="7">
        <v>36</v>
      </c>
      <c r="C39" s="52" t="s">
        <v>419</v>
      </c>
      <c r="D39" s="53">
        <v>9821936133</v>
      </c>
      <c r="E39" s="93" t="s">
        <v>409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24" ht="15" x14ac:dyDescent="0.3">
      <c r="B40" s="7">
        <v>37</v>
      </c>
      <c r="C40" s="52" t="s">
        <v>583</v>
      </c>
      <c r="D40" s="53">
        <v>8050021439</v>
      </c>
      <c r="E40" s="52" t="s">
        <v>413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2:24" ht="15" x14ac:dyDescent="0.3">
      <c r="B41" s="7">
        <v>38</v>
      </c>
      <c r="C41" s="52" t="s">
        <v>461</v>
      </c>
      <c r="D41" s="53">
        <v>8975134040</v>
      </c>
      <c r="E41" s="44" t="s">
        <v>405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2:24" ht="15" x14ac:dyDescent="0.3">
      <c r="B42" s="7">
        <v>39</v>
      </c>
      <c r="C42" s="52" t="s">
        <v>467</v>
      </c>
      <c r="D42" s="53">
        <v>9767029731</v>
      </c>
      <c r="E42" s="44" t="s">
        <v>405</v>
      </c>
      <c r="F42" s="7"/>
      <c r="G42" s="7"/>
      <c r="H42" s="7" t="s">
        <v>222</v>
      </c>
      <c r="I42" s="7" t="s">
        <v>222</v>
      </c>
      <c r="J42" s="7" t="s">
        <v>222</v>
      </c>
      <c r="K42" s="7" t="s">
        <v>222</v>
      </c>
      <c r="L42" s="7"/>
      <c r="M42" s="7"/>
      <c r="N42" s="7"/>
      <c r="O42" s="7" t="s">
        <v>222</v>
      </c>
      <c r="P42" s="7"/>
      <c r="Q42" s="7"/>
      <c r="R42" s="7"/>
      <c r="S42" s="7"/>
      <c r="T42" s="7"/>
      <c r="U42" s="7"/>
      <c r="V42" s="7"/>
      <c r="W42" s="7"/>
      <c r="X42" s="7"/>
    </row>
    <row r="43" spans="2:24" ht="15" x14ac:dyDescent="0.3">
      <c r="B43" s="7">
        <v>40</v>
      </c>
      <c r="C43" s="52" t="s">
        <v>468</v>
      </c>
      <c r="D43" s="53">
        <v>9888813400</v>
      </c>
      <c r="E43" s="52" t="s">
        <v>469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2:24" ht="15" x14ac:dyDescent="0.3">
      <c r="B44" s="7">
        <v>41</v>
      </c>
      <c r="C44" s="52" t="s">
        <v>480</v>
      </c>
      <c r="D44" s="53">
        <v>7382626845</v>
      </c>
      <c r="E44" s="52" t="s">
        <v>406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2:24" ht="15" x14ac:dyDescent="0.3">
      <c r="B45" s="7">
        <v>42</v>
      </c>
      <c r="C45" s="52" t="s">
        <v>483</v>
      </c>
      <c r="D45" s="53">
        <v>9084293824</v>
      </c>
      <c r="E45" s="52" t="s">
        <v>414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2:24" ht="15" x14ac:dyDescent="0.3">
      <c r="B46" s="7">
        <v>43</v>
      </c>
      <c r="C46" s="52" t="s">
        <v>494</v>
      </c>
      <c r="D46" s="53">
        <v>9819501313</v>
      </c>
      <c r="E46" s="44" t="s">
        <v>405</v>
      </c>
      <c r="F46" s="7" t="s">
        <v>222</v>
      </c>
      <c r="G46" s="7"/>
      <c r="H46" s="7" t="s">
        <v>222</v>
      </c>
      <c r="I46" s="7"/>
      <c r="J46" s="7"/>
      <c r="K46" s="7" t="s">
        <v>222</v>
      </c>
      <c r="L46" s="7"/>
      <c r="M46" s="7" t="s">
        <v>222</v>
      </c>
      <c r="N46" s="7" t="s">
        <v>222</v>
      </c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2:24" ht="15" x14ac:dyDescent="0.3">
      <c r="B47" s="7">
        <v>44</v>
      </c>
      <c r="C47" s="52" t="s">
        <v>497</v>
      </c>
      <c r="D47" s="53">
        <v>9884799228</v>
      </c>
      <c r="E47" s="52" t="s">
        <v>498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2:24" ht="15" x14ac:dyDescent="0.3">
      <c r="B48" s="7">
        <v>45</v>
      </c>
      <c r="C48" s="52" t="s">
        <v>511</v>
      </c>
      <c r="D48" s="53">
        <v>9890540890</v>
      </c>
      <c r="E48" s="44" t="s">
        <v>405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2:24" ht="15" x14ac:dyDescent="0.3">
      <c r="B49" s="7">
        <v>46</v>
      </c>
      <c r="C49" s="52" t="s">
        <v>515</v>
      </c>
      <c r="D49" s="53">
        <v>9903693997</v>
      </c>
      <c r="E49" s="52" t="s">
        <v>410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2:24" ht="15" x14ac:dyDescent="0.3">
      <c r="B50" s="7">
        <v>47</v>
      </c>
      <c r="C50" s="52" t="s">
        <v>541</v>
      </c>
      <c r="D50" s="53">
        <v>9931012564</v>
      </c>
      <c r="E50" s="52" t="s">
        <v>516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2:24" ht="15" x14ac:dyDescent="0.3">
      <c r="B51" s="7">
        <v>48</v>
      </c>
      <c r="C51" s="52" t="s">
        <v>549</v>
      </c>
      <c r="D51" s="53">
        <v>9711112254</v>
      </c>
      <c r="E51" s="52" t="s">
        <v>408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2:24" ht="15" x14ac:dyDescent="0.3">
      <c r="B52" s="7">
        <v>49</v>
      </c>
      <c r="C52" s="52" t="s">
        <v>567</v>
      </c>
      <c r="D52" s="53">
        <v>8983347596</v>
      </c>
      <c r="E52" s="44" t="s">
        <v>405</v>
      </c>
      <c r="F52" s="7"/>
      <c r="G52" s="7"/>
      <c r="H52" s="7"/>
      <c r="I52" s="7" t="s">
        <v>222</v>
      </c>
      <c r="J52" s="7" t="s">
        <v>222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2:24" ht="15" x14ac:dyDescent="0.3">
      <c r="B53" s="7">
        <v>50</v>
      </c>
      <c r="C53" s="52" t="s">
        <v>611</v>
      </c>
      <c r="D53" s="53">
        <v>9021542339</v>
      </c>
      <c r="E53" s="44" t="s">
        <v>405</v>
      </c>
      <c r="F53" s="7"/>
      <c r="G53" s="7"/>
      <c r="H53" s="7"/>
      <c r="I53" s="7"/>
      <c r="J53" s="7" t="s">
        <v>222</v>
      </c>
      <c r="K53" s="7" t="s">
        <v>222</v>
      </c>
      <c r="L53" s="7" t="s">
        <v>222</v>
      </c>
      <c r="M53" s="7"/>
      <c r="N53" s="7"/>
      <c r="O53" s="7" t="s">
        <v>222</v>
      </c>
      <c r="P53" s="7"/>
      <c r="Q53" s="7"/>
      <c r="R53" s="7"/>
      <c r="S53" s="7"/>
      <c r="T53" s="7"/>
      <c r="U53" s="7"/>
      <c r="V53" s="7"/>
      <c r="W53" s="7"/>
      <c r="X53" s="7"/>
    </row>
    <row r="54" spans="2:24" ht="15.6" x14ac:dyDescent="0.3">
      <c r="B54" s="7">
        <v>51</v>
      </c>
      <c r="C54" s="52" t="s">
        <v>610</v>
      </c>
      <c r="D54" s="177"/>
      <c r="E54" s="44" t="s">
        <v>405</v>
      </c>
      <c r="F54" s="7"/>
      <c r="G54" s="7"/>
      <c r="H54" s="7"/>
      <c r="I54" s="7"/>
      <c r="J54" s="7" t="s">
        <v>222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2:24" ht="15.6" x14ac:dyDescent="0.3">
      <c r="B55" s="57"/>
      <c r="C55" s="40"/>
      <c r="D55" s="41"/>
    </row>
    <row r="56" spans="2:24" ht="15.6" x14ac:dyDescent="0.3">
      <c r="B56" s="57"/>
      <c r="C56" s="40"/>
      <c r="D56" s="41"/>
    </row>
    <row r="57" spans="2:24" ht="15.6" x14ac:dyDescent="0.3">
      <c r="B57" s="57"/>
      <c r="C57" s="40"/>
      <c r="D57" s="41"/>
    </row>
    <row r="58" spans="2:24" ht="15.6" x14ac:dyDescent="0.3">
      <c r="B58" s="57"/>
      <c r="C58" s="40"/>
      <c r="D58" s="41"/>
    </row>
    <row r="59" spans="2:24" ht="15.6" x14ac:dyDescent="0.3">
      <c r="B59" s="57"/>
      <c r="C59" s="40"/>
      <c r="D59" s="41"/>
    </row>
    <row r="60" spans="2:24" ht="15.6" x14ac:dyDescent="0.3">
      <c r="B60" s="57"/>
      <c r="C60" s="40"/>
      <c r="D60" s="41"/>
    </row>
    <row r="61" spans="2:24" ht="15.6" x14ac:dyDescent="0.3">
      <c r="B61" s="57"/>
      <c r="C61" s="40"/>
      <c r="D61" s="41"/>
    </row>
    <row r="62" spans="2:24" ht="15.6" x14ac:dyDescent="0.3">
      <c r="B62" s="57"/>
      <c r="C62" s="40"/>
      <c r="D62" s="41"/>
    </row>
    <row r="63" spans="2:24" ht="15.6" x14ac:dyDescent="0.3">
      <c r="B63" s="57"/>
      <c r="C63" s="40"/>
      <c r="D63" s="41"/>
    </row>
  </sheetData>
  <mergeCells count="1">
    <mergeCell ref="B3:E3"/>
  </mergeCells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CE63-3E46-41C4-979A-07450A1F5FCE}">
  <dimension ref="A2:AA24"/>
  <sheetViews>
    <sheetView topLeftCell="A2" workbookViewId="0">
      <pane xSplit="1" topLeftCell="B1" activePane="topRight" state="frozen"/>
      <selection activeCell="A3" sqref="A3"/>
      <selection pane="topRight" activeCell="AC22" sqref="AC22"/>
    </sheetView>
  </sheetViews>
  <sheetFormatPr defaultRowHeight="15" x14ac:dyDescent="0.3"/>
  <cols>
    <col min="1" max="1" width="22.5546875" style="40" customWidth="1"/>
    <col min="2" max="2" width="14.33203125" style="1" customWidth="1"/>
    <col min="3" max="3" width="5.5546875" style="1" customWidth="1"/>
    <col min="4" max="4" width="14.33203125" style="1" customWidth="1"/>
    <col min="5" max="5" width="6.77734375" style="1" customWidth="1"/>
    <col min="6" max="6" width="14.33203125" style="1" customWidth="1"/>
    <col min="7" max="7" width="6.88671875" style="1" customWidth="1"/>
    <col min="8" max="8" width="14.33203125" style="1" customWidth="1"/>
    <col min="9" max="9" width="9.109375" style="1" customWidth="1"/>
    <col min="10" max="10" width="14.33203125" style="1" customWidth="1"/>
    <col min="11" max="11" width="7.109375" style="1" customWidth="1"/>
    <col min="12" max="12" width="14.33203125" style="1" customWidth="1"/>
    <col min="13" max="13" width="5.5546875" style="1" customWidth="1"/>
    <col min="14" max="14" width="14" style="1" customWidth="1"/>
    <col min="15" max="15" width="8.88671875" style="40" customWidth="1"/>
    <col min="16" max="16" width="14.109375" style="40" customWidth="1"/>
    <col min="17" max="17" width="6.44140625" style="40" customWidth="1"/>
    <col min="18" max="18" width="14.5546875" style="40" customWidth="1"/>
    <col min="19" max="19" width="7.109375" style="40" customWidth="1"/>
    <col min="20" max="20" width="15" style="40" customWidth="1"/>
    <col min="21" max="21" width="7.33203125" style="40" customWidth="1"/>
    <col min="22" max="22" width="14.33203125" style="40" bestFit="1" customWidth="1"/>
    <col min="23" max="23" width="7.109375" style="40" customWidth="1"/>
    <col min="24" max="24" width="15.44140625" style="40" customWidth="1"/>
    <col min="25" max="25" width="8.5546875" style="40" customWidth="1"/>
    <col min="26" max="26" width="15" style="40" customWidth="1"/>
    <col min="27" max="16384" width="8.88671875" style="40"/>
  </cols>
  <sheetData>
    <row r="2" spans="1:27" ht="15.6" x14ac:dyDescent="0.3">
      <c r="A2" s="286" t="s">
        <v>556</v>
      </c>
      <c r="B2" s="298">
        <v>46163</v>
      </c>
      <c r="C2" s="293"/>
      <c r="D2" s="298">
        <v>46163</v>
      </c>
      <c r="E2" s="293"/>
      <c r="F2" s="299">
        <v>46166</v>
      </c>
      <c r="G2" s="296"/>
      <c r="H2" s="300">
        <v>46180</v>
      </c>
      <c r="I2" s="297"/>
      <c r="J2" s="311">
        <v>46186</v>
      </c>
      <c r="K2" s="312"/>
      <c r="L2" s="311">
        <v>46187</v>
      </c>
      <c r="M2" s="312"/>
      <c r="N2" s="301">
        <v>46189</v>
      </c>
      <c r="O2" s="302"/>
      <c r="P2" s="313">
        <v>46190</v>
      </c>
      <c r="Q2" s="314"/>
      <c r="R2" s="319">
        <v>46191</v>
      </c>
      <c r="S2" s="320"/>
      <c r="T2" s="331">
        <v>46194</v>
      </c>
      <c r="U2" s="332"/>
      <c r="V2" s="333">
        <v>46196</v>
      </c>
      <c r="W2" s="334"/>
      <c r="X2" s="325">
        <v>46197</v>
      </c>
      <c r="Y2" s="326"/>
      <c r="Z2" s="284">
        <v>46201</v>
      </c>
      <c r="AA2" s="285"/>
    </row>
    <row r="3" spans="1:27" ht="45.6" customHeight="1" x14ac:dyDescent="0.3">
      <c r="A3" s="287"/>
      <c r="B3" s="293" t="s">
        <v>563</v>
      </c>
      <c r="C3" s="293"/>
      <c r="D3" s="293" t="s">
        <v>576</v>
      </c>
      <c r="E3" s="293"/>
      <c r="F3" s="296" t="s">
        <v>531</v>
      </c>
      <c r="G3" s="296"/>
      <c r="H3" s="297" t="s">
        <v>298</v>
      </c>
      <c r="I3" s="297"/>
      <c r="J3" s="309" t="s">
        <v>609</v>
      </c>
      <c r="K3" s="310"/>
      <c r="L3" s="309" t="s">
        <v>538</v>
      </c>
      <c r="M3" s="310"/>
      <c r="N3" s="303" t="s">
        <v>577</v>
      </c>
      <c r="O3" s="304"/>
      <c r="P3" s="315" t="s">
        <v>578</v>
      </c>
      <c r="Q3" s="316"/>
      <c r="R3" s="321" t="s">
        <v>579</v>
      </c>
      <c r="S3" s="322"/>
      <c r="T3" s="335" t="s">
        <v>628</v>
      </c>
      <c r="U3" s="336"/>
      <c r="V3" s="337" t="s">
        <v>602</v>
      </c>
      <c r="W3" s="338"/>
      <c r="X3" s="327" t="s">
        <v>603</v>
      </c>
      <c r="Y3" s="328"/>
      <c r="Z3" s="280" t="s">
        <v>608</v>
      </c>
      <c r="AA3" s="281"/>
    </row>
    <row r="4" spans="1:27" ht="15.6" x14ac:dyDescent="0.3">
      <c r="A4" s="287"/>
      <c r="B4" s="294" t="s">
        <v>552</v>
      </c>
      <c r="C4" s="4" t="s">
        <v>311</v>
      </c>
      <c r="D4" s="294" t="s">
        <v>552</v>
      </c>
      <c r="E4" s="4" t="s">
        <v>311</v>
      </c>
      <c r="F4" s="289" t="s">
        <v>552</v>
      </c>
      <c r="G4" s="155" t="s">
        <v>311</v>
      </c>
      <c r="H4" s="291" t="s">
        <v>552</v>
      </c>
      <c r="I4" s="151" t="s">
        <v>311</v>
      </c>
      <c r="J4" s="307" t="s">
        <v>552</v>
      </c>
      <c r="K4" s="153" t="s">
        <v>311</v>
      </c>
      <c r="L4" s="307" t="s">
        <v>552</v>
      </c>
      <c r="M4" s="153" t="s">
        <v>311</v>
      </c>
      <c r="N4" s="305" t="s">
        <v>552</v>
      </c>
      <c r="O4" s="164" t="s">
        <v>311</v>
      </c>
      <c r="P4" s="317" t="s">
        <v>552</v>
      </c>
      <c r="Q4" s="160" t="s">
        <v>311</v>
      </c>
      <c r="R4" s="323" t="s">
        <v>552</v>
      </c>
      <c r="S4" s="162" t="s">
        <v>311</v>
      </c>
      <c r="T4" s="339" t="s">
        <v>552</v>
      </c>
      <c r="U4" s="175" t="s">
        <v>311</v>
      </c>
      <c r="V4" s="341" t="s">
        <v>552</v>
      </c>
      <c r="W4" s="172" t="s">
        <v>311</v>
      </c>
      <c r="X4" s="329" t="s">
        <v>552</v>
      </c>
      <c r="Y4" s="174" t="s">
        <v>311</v>
      </c>
      <c r="Z4" s="282" t="s">
        <v>552</v>
      </c>
      <c r="AA4" s="187" t="s">
        <v>311</v>
      </c>
    </row>
    <row r="5" spans="1:27" ht="32.4" customHeight="1" x14ac:dyDescent="0.3">
      <c r="A5" s="288"/>
      <c r="B5" s="295"/>
      <c r="C5" s="6">
        <v>500</v>
      </c>
      <c r="D5" s="295"/>
      <c r="E5" s="6">
        <v>300</v>
      </c>
      <c r="F5" s="290"/>
      <c r="G5" s="156">
        <v>300</v>
      </c>
      <c r="H5" s="292"/>
      <c r="I5" s="152">
        <v>200</v>
      </c>
      <c r="J5" s="308"/>
      <c r="K5" s="154">
        <v>200</v>
      </c>
      <c r="L5" s="308"/>
      <c r="M5" s="154">
        <v>200</v>
      </c>
      <c r="N5" s="306"/>
      <c r="O5" s="165">
        <v>300</v>
      </c>
      <c r="P5" s="318"/>
      <c r="Q5" s="161">
        <v>300</v>
      </c>
      <c r="R5" s="324"/>
      <c r="S5" s="163">
        <v>300</v>
      </c>
      <c r="T5" s="340"/>
      <c r="U5" s="176">
        <v>200</v>
      </c>
      <c r="V5" s="342"/>
      <c r="W5" s="173">
        <v>300</v>
      </c>
      <c r="X5" s="330"/>
      <c r="Y5" s="121">
        <v>300</v>
      </c>
      <c r="Z5" s="283"/>
      <c r="AA5" s="188">
        <v>300</v>
      </c>
    </row>
    <row r="6" spans="1:27" x14ac:dyDescent="0.3">
      <c r="A6" s="12" t="s">
        <v>164</v>
      </c>
      <c r="B6" s="7"/>
      <c r="C6" s="7"/>
      <c r="D6" s="118" t="s">
        <v>222</v>
      </c>
      <c r="E6" s="118" t="s">
        <v>222</v>
      </c>
      <c r="F6" s="118" t="s">
        <v>222</v>
      </c>
      <c r="G6" s="118" t="s">
        <v>222</v>
      </c>
      <c r="H6" s="118" t="s">
        <v>222</v>
      </c>
      <c r="I6" s="118" t="s">
        <v>222</v>
      </c>
      <c r="J6" s="7"/>
      <c r="K6" s="7"/>
      <c r="L6" s="118" t="s">
        <v>222</v>
      </c>
      <c r="M6" s="118" t="s">
        <v>222</v>
      </c>
      <c r="N6" s="118" t="s">
        <v>222</v>
      </c>
      <c r="O6" s="118" t="s">
        <v>222</v>
      </c>
      <c r="P6" s="7"/>
      <c r="Q6" s="7"/>
      <c r="R6" s="118" t="s">
        <v>222</v>
      </c>
      <c r="S6" s="118" t="s">
        <v>222</v>
      </c>
      <c r="T6" s="118" t="s">
        <v>222</v>
      </c>
      <c r="U6" s="118" t="s">
        <v>222</v>
      </c>
      <c r="V6" s="118" t="s">
        <v>222</v>
      </c>
      <c r="W6" s="118" t="s">
        <v>222</v>
      </c>
      <c r="X6" s="118" t="s">
        <v>222</v>
      </c>
      <c r="Y6" s="118" t="s">
        <v>222</v>
      </c>
      <c r="Z6" s="7"/>
      <c r="AA6" s="7"/>
    </row>
    <row r="7" spans="1:27" x14ac:dyDescent="0.3">
      <c r="A7" s="12" t="s">
        <v>553</v>
      </c>
      <c r="B7" s="118" t="s">
        <v>222</v>
      </c>
      <c r="C7" s="118" t="s">
        <v>222</v>
      </c>
      <c r="D7" s="7"/>
      <c r="E7" s="7"/>
      <c r="F7" s="118" t="s">
        <v>222</v>
      </c>
      <c r="G7" s="118" t="s">
        <v>222</v>
      </c>
      <c r="H7" s="7"/>
      <c r="I7" s="7"/>
      <c r="J7" s="7"/>
      <c r="K7" s="7"/>
      <c r="L7" s="118" t="s">
        <v>222</v>
      </c>
      <c r="M7" s="118" t="s">
        <v>222</v>
      </c>
      <c r="N7" s="7"/>
      <c r="P7" s="118" t="s">
        <v>222</v>
      </c>
      <c r="Q7" s="118" t="s">
        <v>222</v>
      </c>
      <c r="R7" s="118" t="s">
        <v>222</v>
      </c>
      <c r="S7" s="118" t="s">
        <v>222</v>
      </c>
      <c r="T7" s="7"/>
      <c r="U7" s="7"/>
      <c r="V7" s="7"/>
      <c r="W7" s="7"/>
      <c r="X7" s="7"/>
      <c r="Y7" s="7"/>
      <c r="Z7" s="7"/>
      <c r="AA7" s="7"/>
    </row>
    <row r="8" spans="1:27" x14ac:dyDescent="0.3">
      <c r="A8" s="12" t="s">
        <v>554</v>
      </c>
      <c r="B8" s="7"/>
      <c r="C8" s="7"/>
      <c r="D8" s="7"/>
      <c r="E8" s="7"/>
      <c r="F8" s="7"/>
      <c r="G8" s="7"/>
      <c r="H8" s="118" t="s">
        <v>222</v>
      </c>
      <c r="I8" s="118" t="s">
        <v>222</v>
      </c>
      <c r="J8" s="7"/>
      <c r="K8" s="7"/>
      <c r="L8" s="118" t="s">
        <v>222</v>
      </c>
      <c r="M8" s="118" t="s">
        <v>222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3">
      <c r="A9" s="12" t="s">
        <v>555</v>
      </c>
      <c r="B9" s="7"/>
      <c r="C9" s="7"/>
      <c r="D9" s="7"/>
      <c r="E9" s="7"/>
      <c r="F9" s="118" t="s">
        <v>222</v>
      </c>
      <c r="G9" s="118" t="s">
        <v>222</v>
      </c>
      <c r="H9" s="118" t="s">
        <v>222</v>
      </c>
      <c r="I9" s="118" t="s">
        <v>222</v>
      </c>
      <c r="J9" s="118" t="s">
        <v>222</v>
      </c>
      <c r="K9" s="118" t="s">
        <v>222</v>
      </c>
      <c r="L9" s="118" t="s">
        <v>222</v>
      </c>
      <c r="M9" s="118" t="s">
        <v>222</v>
      </c>
      <c r="N9" s="7"/>
      <c r="O9" s="7"/>
      <c r="P9" s="7"/>
      <c r="Q9" s="7"/>
      <c r="R9" s="7"/>
      <c r="S9" s="7"/>
      <c r="T9" s="118" t="s">
        <v>222</v>
      </c>
      <c r="U9" s="118" t="s">
        <v>222</v>
      </c>
      <c r="V9" s="7"/>
      <c r="W9" s="7"/>
      <c r="X9" s="7"/>
      <c r="Y9" s="7"/>
      <c r="Z9" s="7"/>
      <c r="AA9" s="7"/>
    </row>
    <row r="10" spans="1:27" x14ac:dyDescent="0.3">
      <c r="A10" s="12" t="s">
        <v>287</v>
      </c>
      <c r="B10" s="7"/>
      <c r="C10" s="7"/>
      <c r="D10" s="118" t="s">
        <v>222</v>
      </c>
      <c r="E10" s="118" t="s">
        <v>222</v>
      </c>
      <c r="F10" s="118" t="s">
        <v>222</v>
      </c>
      <c r="G10" s="118" t="s">
        <v>222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3">
      <c r="A11" s="12" t="s">
        <v>557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18" t="s">
        <v>222</v>
      </c>
      <c r="S11" s="118" t="s">
        <v>222</v>
      </c>
      <c r="T11" s="118" t="s">
        <v>222</v>
      </c>
      <c r="U11" s="118" t="s">
        <v>222</v>
      </c>
      <c r="V11" s="7"/>
      <c r="W11" s="7"/>
      <c r="X11" s="7"/>
      <c r="Y11" s="7"/>
      <c r="Z11" s="7"/>
      <c r="AA11" s="7"/>
    </row>
    <row r="12" spans="1:27" x14ac:dyDescent="0.3">
      <c r="A12" s="12" t="s">
        <v>161</v>
      </c>
      <c r="B12" s="118" t="s">
        <v>222</v>
      </c>
      <c r="C12" s="118" t="s">
        <v>222</v>
      </c>
      <c r="D12" s="118" t="s">
        <v>222</v>
      </c>
      <c r="E12" s="118" t="s">
        <v>222</v>
      </c>
      <c r="F12" s="118" t="s">
        <v>222</v>
      </c>
      <c r="G12" s="118" t="s">
        <v>222</v>
      </c>
      <c r="H12" s="7"/>
      <c r="I12" s="7"/>
      <c r="J12" s="7"/>
      <c r="K12" s="7"/>
      <c r="L12" s="7"/>
      <c r="M12" s="7"/>
      <c r="N12" s="118" t="s">
        <v>222</v>
      </c>
      <c r="O12" s="118" t="s">
        <v>222</v>
      </c>
      <c r="P12" s="118" t="s">
        <v>222</v>
      </c>
      <c r="Q12" s="118" t="s">
        <v>222</v>
      </c>
      <c r="R12" s="118" t="s">
        <v>222</v>
      </c>
      <c r="S12" s="118" t="s">
        <v>222</v>
      </c>
      <c r="T12" s="7"/>
      <c r="U12" s="7"/>
      <c r="V12" s="7"/>
      <c r="W12" s="7"/>
      <c r="X12" s="7"/>
      <c r="Y12" s="7"/>
      <c r="Z12" s="7"/>
      <c r="AA12" s="7"/>
    </row>
    <row r="13" spans="1:27" x14ac:dyDescent="0.3">
      <c r="A13" s="12" t="s">
        <v>558</v>
      </c>
      <c r="B13" s="7"/>
      <c r="C13" s="7"/>
      <c r="D13" s="7"/>
      <c r="E13" s="7"/>
      <c r="F13" s="7"/>
      <c r="G13" s="7"/>
      <c r="H13" s="118" t="s">
        <v>222</v>
      </c>
      <c r="I13" s="118" t="s">
        <v>222</v>
      </c>
      <c r="J13" s="118" t="s">
        <v>222</v>
      </c>
      <c r="K13" s="118" t="s">
        <v>222</v>
      </c>
      <c r="L13" s="118" t="s">
        <v>222</v>
      </c>
      <c r="M13" s="118" t="s">
        <v>222</v>
      </c>
      <c r="N13" s="7"/>
      <c r="O13" s="7"/>
      <c r="P13" s="118" t="s">
        <v>222</v>
      </c>
      <c r="Q13" s="118" t="s">
        <v>222</v>
      </c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3">
      <c r="A14" s="159" t="s">
        <v>561</v>
      </c>
      <c r="B14" s="158"/>
      <c r="C14" s="158"/>
      <c r="D14" s="157" t="s">
        <v>222</v>
      </c>
      <c r="E14" s="157" t="s">
        <v>222</v>
      </c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</row>
    <row r="15" spans="1:27" x14ac:dyDescent="0.3">
      <c r="A15" s="12" t="s">
        <v>138</v>
      </c>
      <c r="B15" s="118" t="s">
        <v>222</v>
      </c>
      <c r="C15" s="118" t="s">
        <v>222</v>
      </c>
      <c r="D15" s="118" t="s">
        <v>222</v>
      </c>
      <c r="E15" s="118" t="s">
        <v>222</v>
      </c>
      <c r="F15" s="7"/>
      <c r="G15" s="7"/>
      <c r="H15" s="7"/>
      <c r="I15" s="7"/>
      <c r="J15" s="7"/>
      <c r="K15" s="7"/>
      <c r="L15" s="7"/>
      <c r="M15" s="7"/>
      <c r="N15" s="118" t="s">
        <v>222</v>
      </c>
      <c r="O15" s="118" t="s">
        <v>222</v>
      </c>
      <c r="P15" s="118" t="s">
        <v>222</v>
      </c>
      <c r="Q15" s="118" t="s">
        <v>222</v>
      </c>
      <c r="R15" s="118" t="s">
        <v>222</v>
      </c>
      <c r="S15" s="118" t="s">
        <v>222</v>
      </c>
      <c r="T15" s="7"/>
      <c r="U15" s="7"/>
      <c r="V15" s="118" t="s">
        <v>222</v>
      </c>
      <c r="W15" s="118" t="s">
        <v>222</v>
      </c>
      <c r="X15" s="118" t="s">
        <v>222</v>
      </c>
      <c r="Y15" s="118" t="s">
        <v>222</v>
      </c>
      <c r="Z15" s="7"/>
      <c r="AA15" s="7"/>
    </row>
    <row r="16" spans="1:27" x14ac:dyDescent="0.3">
      <c r="A16" s="12" t="s">
        <v>153</v>
      </c>
      <c r="B16" s="7"/>
      <c r="C16" s="7"/>
      <c r="D16" s="52"/>
      <c r="E16" s="52"/>
      <c r="F16" s="118" t="s">
        <v>222</v>
      </c>
      <c r="G16" s="118" t="s">
        <v>222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12" t="s">
        <v>197</v>
      </c>
      <c r="B17" s="118" t="s">
        <v>222</v>
      </c>
      <c r="C17" s="118" t="s">
        <v>222</v>
      </c>
      <c r="D17" s="52"/>
      <c r="E17" s="52"/>
      <c r="F17" s="7"/>
      <c r="G17" s="7"/>
      <c r="H17" s="118" t="s">
        <v>222</v>
      </c>
      <c r="I17" s="7"/>
      <c r="J17" s="118" t="s">
        <v>222</v>
      </c>
      <c r="K17" s="7"/>
      <c r="L17" s="118" t="s">
        <v>222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3">
      <c r="A18" s="12" t="s">
        <v>562</v>
      </c>
      <c r="B18" s="118" t="s">
        <v>222</v>
      </c>
      <c r="C18" s="118" t="s">
        <v>222</v>
      </c>
      <c r="D18" s="118" t="s">
        <v>222</v>
      </c>
      <c r="E18" s="118" t="s">
        <v>222</v>
      </c>
      <c r="F18" s="7"/>
      <c r="G18" s="7"/>
      <c r="H18" s="7"/>
      <c r="I18" s="7"/>
      <c r="J18" s="7"/>
      <c r="K18" s="7"/>
      <c r="L18" s="7"/>
      <c r="M18" s="7"/>
      <c r="N18" s="118" t="s">
        <v>222</v>
      </c>
      <c r="O18" s="118" t="s">
        <v>222</v>
      </c>
      <c r="P18" s="118" t="s">
        <v>222</v>
      </c>
      <c r="Q18" s="118" t="s">
        <v>222</v>
      </c>
      <c r="R18" s="118" t="s">
        <v>222</v>
      </c>
      <c r="S18" s="118" t="s">
        <v>222</v>
      </c>
      <c r="T18" s="7"/>
      <c r="U18" s="7"/>
      <c r="V18" s="7"/>
      <c r="W18" s="7"/>
      <c r="X18" s="7"/>
      <c r="Y18" s="7"/>
      <c r="Z18" s="7"/>
      <c r="AA18" s="7"/>
    </row>
    <row r="19" spans="1:27" x14ac:dyDescent="0.3">
      <c r="A19" s="12" t="s">
        <v>160</v>
      </c>
      <c r="B19" s="118" t="s">
        <v>222</v>
      </c>
      <c r="C19" s="118" t="s">
        <v>222</v>
      </c>
      <c r="D19" s="118" t="s">
        <v>222</v>
      </c>
      <c r="E19" s="118" t="s">
        <v>222</v>
      </c>
      <c r="F19" s="7"/>
      <c r="G19" s="7"/>
      <c r="H19" s="7"/>
      <c r="I19" s="7"/>
      <c r="J19" s="7"/>
      <c r="K19" s="7"/>
      <c r="L19" s="7"/>
      <c r="M19" s="7"/>
      <c r="N19" s="118" t="s">
        <v>222</v>
      </c>
      <c r="O19" s="118" t="s">
        <v>222</v>
      </c>
      <c r="P19" s="118" t="s">
        <v>222</v>
      </c>
      <c r="Q19" s="118" t="s">
        <v>222</v>
      </c>
      <c r="R19" s="118" t="s">
        <v>222</v>
      </c>
      <c r="S19" s="118" t="s">
        <v>222</v>
      </c>
      <c r="T19" s="7"/>
      <c r="U19" s="7"/>
      <c r="V19" s="7"/>
      <c r="W19" s="7"/>
      <c r="X19" s="7"/>
      <c r="Y19" s="7"/>
      <c r="Z19" s="7"/>
      <c r="AA19" s="7"/>
    </row>
    <row r="20" spans="1:27" x14ac:dyDescent="0.3">
      <c r="A20" s="12" t="s">
        <v>150</v>
      </c>
      <c r="B20" s="118" t="s">
        <v>222</v>
      </c>
      <c r="C20" s="118" t="s">
        <v>222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118" t="s">
        <v>222</v>
      </c>
      <c r="O20" s="118" t="s">
        <v>222</v>
      </c>
      <c r="P20" s="118" t="s">
        <v>222</v>
      </c>
      <c r="Q20" s="118" t="s">
        <v>222</v>
      </c>
      <c r="R20" s="7"/>
      <c r="S20" s="7"/>
      <c r="T20" s="7"/>
      <c r="U20" s="7"/>
      <c r="V20" s="118" t="s">
        <v>222</v>
      </c>
      <c r="W20" s="118" t="s">
        <v>222</v>
      </c>
      <c r="X20" s="118" t="s">
        <v>222</v>
      </c>
      <c r="Y20" s="118" t="s">
        <v>222</v>
      </c>
      <c r="Z20" s="7"/>
      <c r="AA20" s="7"/>
    </row>
    <row r="21" spans="1:27" x14ac:dyDescent="0.3">
      <c r="A21" s="12" t="s">
        <v>570</v>
      </c>
      <c r="B21" s="7"/>
      <c r="C21" s="7"/>
      <c r="D21" s="7"/>
      <c r="E21" s="7"/>
      <c r="F21" s="118" t="s">
        <v>222</v>
      </c>
      <c r="G21" s="7"/>
      <c r="H21" s="7"/>
      <c r="I21" s="7"/>
      <c r="J21" s="7"/>
      <c r="K21" s="7"/>
      <c r="L21" s="7"/>
      <c r="M21" s="7"/>
      <c r="N21" s="7"/>
      <c r="O21" s="52"/>
      <c r="P21" s="7"/>
      <c r="Q21" s="52"/>
      <c r="R21" s="7"/>
      <c r="S21" s="52"/>
      <c r="T21" s="7"/>
      <c r="U21" s="7"/>
      <c r="V21" s="7"/>
      <c r="W21" s="7"/>
      <c r="X21" s="7"/>
      <c r="Y21" s="7"/>
      <c r="Z21" s="7"/>
      <c r="AA21" s="7"/>
    </row>
    <row r="22" spans="1:27" x14ac:dyDescent="0.3">
      <c r="A22" s="12" t="s">
        <v>611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118" t="s">
        <v>222</v>
      </c>
      <c r="M22" s="118"/>
      <c r="N22" s="7"/>
      <c r="O22" s="52"/>
      <c r="P22" s="52"/>
      <c r="Q22" s="52"/>
      <c r="R22" s="52"/>
      <c r="S22" s="52"/>
      <c r="T22" s="118" t="s">
        <v>222</v>
      </c>
      <c r="U22" s="118" t="s">
        <v>222</v>
      </c>
      <c r="V22" s="7"/>
      <c r="W22" s="7"/>
      <c r="X22" s="7"/>
      <c r="Y22" s="7"/>
      <c r="Z22" s="7"/>
      <c r="AA22" s="7"/>
    </row>
    <row r="23" spans="1:27" x14ac:dyDescent="0.3">
      <c r="A23" s="12" t="s">
        <v>610</v>
      </c>
      <c r="B23" s="7"/>
      <c r="C23" s="7"/>
      <c r="D23" s="7"/>
      <c r="E23" s="7"/>
      <c r="F23" s="7"/>
      <c r="G23" s="7"/>
      <c r="H23" s="7"/>
      <c r="I23" s="7"/>
      <c r="J23" s="118" t="s">
        <v>222</v>
      </c>
      <c r="K23" s="118" t="s">
        <v>222</v>
      </c>
      <c r="L23" s="7"/>
      <c r="M23" s="7"/>
      <c r="N23" s="7"/>
      <c r="O23" s="52"/>
      <c r="P23" s="52"/>
      <c r="Q23" s="52"/>
      <c r="R23" s="52"/>
      <c r="S23" s="52"/>
      <c r="T23" s="7"/>
      <c r="U23" s="7"/>
      <c r="V23" s="7"/>
      <c r="W23" s="7"/>
      <c r="X23" s="7"/>
      <c r="Y23" s="7"/>
      <c r="Z23" s="7"/>
      <c r="AA23" s="7"/>
    </row>
    <row r="24" spans="1:27" x14ac:dyDescent="0.3">
      <c r="A24" s="12" t="s">
        <v>567</v>
      </c>
      <c r="B24" s="7"/>
      <c r="C24" s="7"/>
      <c r="D24" s="7"/>
      <c r="E24" s="7"/>
      <c r="F24" s="7"/>
      <c r="G24" s="7"/>
      <c r="H24" s="118" t="s">
        <v>222</v>
      </c>
      <c r="I24" s="118" t="s">
        <v>222</v>
      </c>
      <c r="J24" s="118" t="s">
        <v>222</v>
      </c>
      <c r="K24" s="118" t="s">
        <v>222</v>
      </c>
      <c r="L24" s="7"/>
      <c r="M24" s="7"/>
      <c r="N24" s="7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</sheetData>
  <autoFilter ref="T2:T24" xr:uid="{95D7CE63-3E46-41C4-979A-07450A1F5FCE}"/>
  <mergeCells count="40">
    <mergeCell ref="X2:Y2"/>
    <mergeCell ref="X3:Y3"/>
    <mergeCell ref="X4:X5"/>
    <mergeCell ref="T2:U2"/>
    <mergeCell ref="V2:W2"/>
    <mergeCell ref="T3:U3"/>
    <mergeCell ref="V3:W3"/>
    <mergeCell ref="T4:T5"/>
    <mergeCell ref="V4:V5"/>
    <mergeCell ref="P2:Q2"/>
    <mergeCell ref="P3:Q3"/>
    <mergeCell ref="P4:P5"/>
    <mergeCell ref="R2:S2"/>
    <mergeCell ref="R3:S3"/>
    <mergeCell ref="R4:R5"/>
    <mergeCell ref="N3:O3"/>
    <mergeCell ref="N4:N5"/>
    <mergeCell ref="D2:E2"/>
    <mergeCell ref="L4:L5"/>
    <mergeCell ref="L3:M3"/>
    <mergeCell ref="L2:M2"/>
    <mergeCell ref="J2:K2"/>
    <mergeCell ref="J3:K3"/>
    <mergeCell ref="J4:J5"/>
    <mergeCell ref="Z3:AA3"/>
    <mergeCell ref="Z4:Z5"/>
    <mergeCell ref="Z2:AA2"/>
    <mergeCell ref="A2:A5"/>
    <mergeCell ref="F4:F5"/>
    <mergeCell ref="H4:H5"/>
    <mergeCell ref="D3:E3"/>
    <mergeCell ref="D4:D5"/>
    <mergeCell ref="F3:G3"/>
    <mergeCell ref="H3:I3"/>
    <mergeCell ref="B2:C2"/>
    <mergeCell ref="B3:C3"/>
    <mergeCell ref="B4:B5"/>
    <mergeCell ref="F2:G2"/>
    <mergeCell ref="H2:I2"/>
    <mergeCell ref="N2:O2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91B3-B2FB-4CBC-9C53-5E6810BFCD56}">
  <dimension ref="B2:M91"/>
  <sheetViews>
    <sheetView topLeftCell="A67" workbookViewId="0">
      <selection activeCell="C71" sqref="C71:D91"/>
    </sheetView>
  </sheetViews>
  <sheetFormatPr defaultColWidth="9.5546875" defaultRowHeight="15.6" x14ac:dyDescent="0.3"/>
  <cols>
    <col min="2" max="2" width="5.77734375" bestFit="1" customWidth="1"/>
    <col min="3" max="3" width="22.44140625" customWidth="1"/>
    <col min="4" max="4" width="14.109375" customWidth="1"/>
    <col min="5" max="5" width="45.77734375" style="139" bestFit="1" customWidth="1"/>
    <col min="13" max="13" width="9.5546875" style="78"/>
  </cols>
  <sheetData>
    <row r="2" spans="2:13" x14ac:dyDescent="0.3">
      <c r="B2" s="204"/>
      <c r="C2" s="204"/>
      <c r="D2" s="204"/>
      <c r="F2" s="204"/>
      <c r="G2" s="204"/>
      <c r="H2" s="204"/>
      <c r="J2" s="204"/>
      <c r="K2" s="204"/>
      <c r="L2" s="204"/>
      <c r="M2" s="204"/>
    </row>
    <row r="3" spans="2:13" x14ac:dyDescent="0.3">
      <c r="B3" s="206" t="s">
        <v>0</v>
      </c>
      <c r="C3" s="206" t="s">
        <v>674</v>
      </c>
      <c r="D3" s="206" t="s">
        <v>701</v>
      </c>
      <c r="E3" s="207" t="s">
        <v>700</v>
      </c>
      <c r="F3" s="205"/>
      <c r="G3" s="205"/>
      <c r="H3" s="205"/>
      <c r="J3" s="205"/>
      <c r="K3" s="205"/>
      <c r="L3" s="205"/>
      <c r="M3" s="205"/>
    </row>
    <row r="4" spans="2:13" x14ac:dyDescent="0.3">
      <c r="B4" s="35"/>
      <c r="C4" s="202"/>
      <c r="D4" s="202"/>
      <c r="E4" s="36"/>
      <c r="F4" s="203"/>
      <c r="G4" s="203"/>
      <c r="H4" s="203"/>
      <c r="J4" s="203"/>
      <c r="K4" s="203"/>
      <c r="L4" s="203"/>
      <c r="M4" s="203"/>
    </row>
    <row r="5" spans="2:13" x14ac:dyDescent="0.3">
      <c r="B5" s="35">
        <v>1</v>
      </c>
      <c r="C5" s="53" t="s">
        <v>675</v>
      </c>
      <c r="D5" s="52" t="s">
        <v>678</v>
      </c>
      <c r="E5" s="36" t="s">
        <v>711</v>
      </c>
      <c r="F5" s="40"/>
      <c r="G5" s="41"/>
      <c r="H5" s="40"/>
      <c r="J5" s="40"/>
      <c r="K5" s="41"/>
      <c r="L5" s="40"/>
      <c r="M5" s="186"/>
    </row>
    <row r="6" spans="2:13" x14ac:dyDescent="0.3">
      <c r="B6" s="7">
        <v>2</v>
      </c>
      <c r="C6" s="53" t="s">
        <v>676</v>
      </c>
      <c r="D6" s="52" t="s">
        <v>679</v>
      </c>
      <c r="E6" s="36" t="s">
        <v>712</v>
      </c>
      <c r="F6" s="40"/>
      <c r="G6" s="41"/>
      <c r="H6" s="40"/>
      <c r="J6" s="40"/>
      <c r="K6" s="41"/>
      <c r="L6" s="40"/>
      <c r="M6" s="186"/>
    </row>
    <row r="7" spans="2:13" x14ac:dyDescent="0.3">
      <c r="B7" s="35">
        <v>3</v>
      </c>
      <c r="C7" s="53" t="s">
        <v>677</v>
      </c>
      <c r="D7" s="52" t="s">
        <v>680</v>
      </c>
      <c r="E7" s="36"/>
      <c r="F7" s="40"/>
      <c r="G7" s="41"/>
      <c r="H7" s="40"/>
      <c r="J7" s="40"/>
      <c r="K7" s="41"/>
      <c r="L7" s="40"/>
      <c r="M7" s="186"/>
    </row>
    <row r="8" spans="2:13" x14ac:dyDescent="0.3">
      <c r="B8" s="7">
        <v>4</v>
      </c>
      <c r="C8" s="53" t="s">
        <v>304</v>
      </c>
      <c r="D8" s="52" t="s">
        <v>681</v>
      </c>
      <c r="E8" s="36"/>
      <c r="F8" s="40"/>
      <c r="G8" s="41"/>
      <c r="H8" s="40"/>
      <c r="J8" s="40"/>
      <c r="K8" s="41"/>
      <c r="L8" s="40"/>
      <c r="M8" s="186"/>
    </row>
    <row r="9" spans="2:13" x14ac:dyDescent="0.3">
      <c r="B9" s="35">
        <v>5</v>
      </c>
      <c r="C9" s="53" t="s">
        <v>682</v>
      </c>
      <c r="D9" s="52" t="s">
        <v>683</v>
      </c>
      <c r="E9" s="36" t="s">
        <v>684</v>
      </c>
      <c r="F9" s="40"/>
      <c r="G9" s="41"/>
      <c r="H9" s="40"/>
      <c r="J9" s="40"/>
      <c r="K9" s="41"/>
      <c r="L9" s="40"/>
      <c r="M9" s="186"/>
    </row>
    <row r="10" spans="2:13" x14ac:dyDescent="0.3">
      <c r="B10" s="7">
        <v>6</v>
      </c>
      <c r="C10" s="53" t="s">
        <v>688</v>
      </c>
      <c r="D10" s="52" t="s">
        <v>685</v>
      </c>
      <c r="E10" s="36" t="s">
        <v>686</v>
      </c>
      <c r="F10" s="40"/>
      <c r="G10" s="41"/>
      <c r="H10" s="40"/>
      <c r="J10" s="40"/>
      <c r="K10" s="41"/>
      <c r="L10" s="40"/>
      <c r="M10" s="186"/>
    </row>
    <row r="11" spans="2:13" x14ac:dyDescent="0.3">
      <c r="B11" s="35">
        <v>7</v>
      </c>
      <c r="C11" s="53" t="s">
        <v>687</v>
      </c>
      <c r="D11" s="52" t="s">
        <v>689</v>
      </c>
      <c r="E11" s="36" t="s">
        <v>686</v>
      </c>
      <c r="F11" s="40"/>
      <c r="G11" s="41"/>
      <c r="H11" s="40"/>
      <c r="J11" s="40"/>
      <c r="K11" s="41"/>
      <c r="L11" s="40"/>
      <c r="M11" s="186"/>
    </row>
    <row r="12" spans="2:13" x14ac:dyDescent="0.3">
      <c r="B12" s="7">
        <v>8</v>
      </c>
      <c r="C12" s="53" t="s">
        <v>690</v>
      </c>
      <c r="D12" s="52" t="s">
        <v>679</v>
      </c>
      <c r="E12" s="36" t="s">
        <v>691</v>
      </c>
      <c r="F12" s="40"/>
      <c r="G12" s="41"/>
      <c r="H12" s="40"/>
      <c r="J12" s="40"/>
      <c r="K12" s="41"/>
      <c r="L12" s="40"/>
      <c r="M12" s="186"/>
    </row>
    <row r="13" spans="2:13" x14ac:dyDescent="0.3">
      <c r="B13" s="35">
        <v>9</v>
      </c>
      <c r="C13" s="53" t="s">
        <v>692</v>
      </c>
      <c r="D13" s="36" t="s">
        <v>693</v>
      </c>
      <c r="E13" s="36" t="s">
        <v>691</v>
      </c>
      <c r="M13" s="186"/>
    </row>
    <row r="14" spans="2:13" x14ac:dyDescent="0.3">
      <c r="B14" s="7">
        <v>10</v>
      </c>
      <c r="C14" s="36" t="s">
        <v>694</v>
      </c>
      <c r="D14" s="36" t="s">
        <v>679</v>
      </c>
      <c r="E14" s="36" t="s">
        <v>686</v>
      </c>
      <c r="M14" s="57"/>
    </row>
    <row r="15" spans="2:13" x14ac:dyDescent="0.3">
      <c r="B15" s="35">
        <v>11</v>
      </c>
      <c r="C15" s="36" t="s">
        <v>697</v>
      </c>
      <c r="D15" s="36" t="s">
        <v>695</v>
      </c>
      <c r="E15" s="36" t="s">
        <v>684</v>
      </c>
      <c r="M15" s="57"/>
    </row>
    <row r="16" spans="2:13" x14ac:dyDescent="0.3">
      <c r="B16" s="7">
        <v>12</v>
      </c>
      <c r="C16" s="36" t="s">
        <v>696</v>
      </c>
      <c r="D16" s="36" t="s">
        <v>698</v>
      </c>
      <c r="E16" s="36" t="s">
        <v>699</v>
      </c>
      <c r="F16" s="40"/>
      <c r="M16" s="57"/>
    </row>
    <row r="17" spans="2:13" x14ac:dyDescent="0.3">
      <c r="B17" s="35">
        <v>13</v>
      </c>
      <c r="C17" s="36" t="s">
        <v>702</v>
      </c>
      <c r="D17" s="36" t="s">
        <v>703</v>
      </c>
      <c r="E17" s="36"/>
      <c r="F17" s="40"/>
      <c r="M17" s="57"/>
    </row>
    <row r="18" spans="2:13" x14ac:dyDescent="0.3">
      <c r="B18" s="7">
        <v>14</v>
      </c>
      <c r="C18" s="36" t="s">
        <v>704</v>
      </c>
      <c r="D18" s="36" t="s">
        <v>705</v>
      </c>
      <c r="E18" s="36"/>
      <c r="F18" s="40"/>
    </row>
    <row r="19" spans="2:13" x14ac:dyDescent="0.3">
      <c r="B19" s="35">
        <v>15</v>
      </c>
      <c r="C19" s="36" t="s">
        <v>706</v>
      </c>
      <c r="D19" s="36" t="s">
        <v>707</v>
      </c>
      <c r="E19" s="36"/>
      <c r="F19" s="40"/>
    </row>
    <row r="20" spans="2:13" x14ac:dyDescent="0.3">
      <c r="B20" s="7">
        <v>16</v>
      </c>
      <c r="C20" s="36" t="s">
        <v>630</v>
      </c>
      <c r="D20" s="36" t="s">
        <v>705</v>
      </c>
      <c r="E20" s="36"/>
      <c r="F20" s="40"/>
    </row>
    <row r="21" spans="2:13" x14ac:dyDescent="0.3">
      <c r="B21" s="35">
        <v>17</v>
      </c>
      <c r="C21" s="36" t="s">
        <v>708</v>
      </c>
      <c r="D21" s="36" t="s">
        <v>713</v>
      </c>
      <c r="E21" s="36"/>
    </row>
    <row r="22" spans="2:13" x14ac:dyDescent="0.3">
      <c r="B22" s="7">
        <v>18</v>
      </c>
      <c r="C22" s="36" t="s">
        <v>710</v>
      </c>
      <c r="D22" s="36" t="s">
        <v>709</v>
      </c>
      <c r="E22" s="36"/>
    </row>
    <row r="23" spans="2:13" x14ac:dyDescent="0.3">
      <c r="B23" s="35">
        <v>19</v>
      </c>
      <c r="C23" s="36" t="s">
        <v>714</v>
      </c>
      <c r="D23" s="36" t="s">
        <v>715</v>
      </c>
      <c r="E23" s="36"/>
    </row>
    <row r="24" spans="2:13" x14ac:dyDescent="0.3">
      <c r="B24" s="7">
        <v>20</v>
      </c>
      <c r="C24" s="36" t="s">
        <v>716</v>
      </c>
      <c r="D24" s="36" t="s">
        <v>717</v>
      </c>
      <c r="E24" s="36"/>
    </row>
    <row r="25" spans="2:13" x14ac:dyDescent="0.3">
      <c r="B25" s="35">
        <v>21</v>
      </c>
      <c r="C25" s="36" t="s">
        <v>718</v>
      </c>
      <c r="D25" s="36" t="s">
        <v>719</v>
      </c>
      <c r="E25" s="36"/>
    </row>
    <row r="26" spans="2:13" x14ac:dyDescent="0.3">
      <c r="B26" s="7">
        <v>22</v>
      </c>
      <c r="C26" s="36" t="s">
        <v>720</v>
      </c>
      <c r="D26" s="36" t="s">
        <v>721</v>
      </c>
      <c r="E26" s="36"/>
    </row>
    <row r="27" spans="2:13" x14ac:dyDescent="0.3">
      <c r="B27" s="35">
        <v>23</v>
      </c>
      <c r="C27" s="36" t="s">
        <v>722</v>
      </c>
      <c r="D27" s="36" t="s">
        <v>723</v>
      </c>
      <c r="E27" s="36"/>
    </row>
    <row r="28" spans="2:13" x14ac:dyDescent="0.3">
      <c r="B28" s="35">
        <v>24</v>
      </c>
      <c r="C28" s="36" t="s">
        <v>724</v>
      </c>
      <c r="D28" s="36" t="s">
        <v>679</v>
      </c>
      <c r="E28" s="36"/>
    </row>
    <row r="29" spans="2:13" x14ac:dyDescent="0.3">
      <c r="B29" s="35">
        <v>25</v>
      </c>
      <c r="C29" s="36" t="s">
        <v>725</v>
      </c>
      <c r="D29" s="36" t="s">
        <v>726</v>
      </c>
      <c r="E29" s="36"/>
    </row>
    <row r="30" spans="2:13" x14ac:dyDescent="0.3">
      <c r="B30" s="208">
        <v>26</v>
      </c>
      <c r="C30" s="36" t="s">
        <v>727</v>
      </c>
      <c r="D30" s="36" t="s">
        <v>728</v>
      </c>
      <c r="E30" s="36"/>
    </row>
    <row r="31" spans="2:13" x14ac:dyDescent="0.3">
      <c r="B31" s="35">
        <v>27</v>
      </c>
      <c r="C31" s="36" t="s">
        <v>729</v>
      </c>
      <c r="D31" s="36" t="s">
        <v>730</v>
      </c>
      <c r="E31" s="36"/>
    </row>
    <row r="32" spans="2:13" x14ac:dyDescent="0.3">
      <c r="B32" s="35">
        <v>28</v>
      </c>
      <c r="C32" s="36" t="s">
        <v>731</v>
      </c>
      <c r="D32" s="36" t="s">
        <v>732</v>
      </c>
      <c r="E32" s="36"/>
    </row>
    <row r="33" spans="2:5" x14ac:dyDescent="0.3">
      <c r="B33" s="35">
        <v>29</v>
      </c>
      <c r="C33" s="36" t="s">
        <v>733</v>
      </c>
      <c r="D33" s="36" t="s">
        <v>732</v>
      </c>
      <c r="E33" s="36"/>
    </row>
    <row r="34" spans="2:5" x14ac:dyDescent="0.3">
      <c r="B34" s="35">
        <v>30</v>
      </c>
      <c r="C34" s="36" t="s">
        <v>734</v>
      </c>
      <c r="D34" s="36" t="s">
        <v>735</v>
      </c>
      <c r="E34" s="36"/>
    </row>
    <row r="35" spans="2:5" x14ac:dyDescent="0.3">
      <c r="B35" s="35">
        <v>31</v>
      </c>
      <c r="C35" s="36" t="s">
        <v>736</v>
      </c>
      <c r="D35" s="36" t="s">
        <v>737</v>
      </c>
      <c r="E35" s="36"/>
    </row>
    <row r="36" spans="2:5" x14ac:dyDescent="0.3">
      <c r="B36" s="35">
        <v>32</v>
      </c>
      <c r="C36" s="36" t="s">
        <v>738</v>
      </c>
      <c r="D36" s="36" t="s">
        <v>739</v>
      </c>
      <c r="E36" s="36" t="s">
        <v>686</v>
      </c>
    </row>
    <row r="37" spans="2:5" x14ac:dyDescent="0.3">
      <c r="B37" s="35">
        <v>33</v>
      </c>
      <c r="C37" s="36" t="s">
        <v>740</v>
      </c>
      <c r="D37" s="36" t="s">
        <v>741</v>
      </c>
      <c r="E37" s="36" t="s">
        <v>691</v>
      </c>
    </row>
    <row r="38" spans="2:5" x14ac:dyDescent="0.3">
      <c r="B38" s="35">
        <v>34</v>
      </c>
      <c r="C38" s="36"/>
      <c r="D38" s="36"/>
      <c r="E38" s="36"/>
    </row>
    <row r="41" spans="2:5" ht="15" x14ac:dyDescent="0.3">
      <c r="C41" s="52" t="s">
        <v>138</v>
      </c>
      <c r="D41" s="44" t="s">
        <v>405</v>
      </c>
      <c r="E41" s="54">
        <v>46007</v>
      </c>
    </row>
    <row r="42" spans="2:5" ht="15" x14ac:dyDescent="0.3">
      <c r="C42" s="52" t="s">
        <v>140</v>
      </c>
      <c r="D42" s="44" t="s">
        <v>405</v>
      </c>
      <c r="E42" s="54">
        <v>46009</v>
      </c>
    </row>
    <row r="43" spans="2:5" ht="15" x14ac:dyDescent="0.3">
      <c r="C43" s="52" t="s">
        <v>141</v>
      </c>
      <c r="D43" s="44" t="s">
        <v>405</v>
      </c>
      <c r="E43" s="54">
        <v>46010</v>
      </c>
    </row>
    <row r="44" spans="2:5" ht="15" x14ac:dyDescent="0.3">
      <c r="C44" s="52" t="s">
        <v>146</v>
      </c>
      <c r="D44" s="44" t="s">
        <v>405</v>
      </c>
      <c r="E44" s="54">
        <v>46013</v>
      </c>
    </row>
    <row r="45" spans="2:5" ht="15" x14ac:dyDescent="0.3">
      <c r="C45" s="52" t="s">
        <v>147</v>
      </c>
      <c r="D45" s="93" t="s">
        <v>409</v>
      </c>
      <c r="E45" s="54">
        <v>46014</v>
      </c>
    </row>
    <row r="46" spans="2:5" ht="15" x14ac:dyDescent="0.3">
      <c r="C46" s="52" t="s">
        <v>148</v>
      </c>
      <c r="D46" s="93" t="s">
        <v>409</v>
      </c>
      <c r="E46" s="54">
        <v>46014</v>
      </c>
    </row>
    <row r="47" spans="2:5" ht="15" x14ac:dyDescent="0.3">
      <c r="C47" s="52" t="s">
        <v>150</v>
      </c>
      <c r="D47" s="44" t="s">
        <v>405</v>
      </c>
      <c r="E47" s="54">
        <v>46014</v>
      </c>
    </row>
    <row r="48" spans="2:5" ht="15" x14ac:dyDescent="0.3">
      <c r="C48" s="52" t="s">
        <v>153</v>
      </c>
      <c r="D48" s="93" t="s">
        <v>409</v>
      </c>
      <c r="E48" s="54">
        <v>46014</v>
      </c>
    </row>
    <row r="49" spans="3:5" ht="15" x14ac:dyDescent="0.3">
      <c r="C49" s="52" t="s">
        <v>160</v>
      </c>
      <c r="D49" s="93" t="s">
        <v>409</v>
      </c>
      <c r="E49" s="54">
        <v>46014</v>
      </c>
    </row>
    <row r="50" spans="3:5" ht="15" x14ac:dyDescent="0.3">
      <c r="C50" s="52" t="s">
        <v>172</v>
      </c>
      <c r="D50" s="94" t="s">
        <v>408</v>
      </c>
      <c r="E50" s="54">
        <v>46014</v>
      </c>
    </row>
    <row r="51" spans="3:5" ht="15" x14ac:dyDescent="0.3">
      <c r="C51" s="52" t="s">
        <v>157</v>
      </c>
      <c r="D51" s="44" t="s">
        <v>405</v>
      </c>
      <c r="E51" s="54">
        <v>46014</v>
      </c>
    </row>
    <row r="52" spans="3:5" ht="15" x14ac:dyDescent="0.3">
      <c r="C52" s="52" t="s">
        <v>164</v>
      </c>
      <c r="D52" s="44" t="s">
        <v>405</v>
      </c>
      <c r="E52" s="54">
        <v>46015</v>
      </c>
    </row>
    <row r="53" spans="3:5" ht="15" x14ac:dyDescent="0.3">
      <c r="C53" s="52" t="s">
        <v>167</v>
      </c>
      <c r="D53" s="52" t="s">
        <v>412</v>
      </c>
      <c r="E53" s="54">
        <v>46015</v>
      </c>
    </row>
    <row r="54" spans="3:5" ht="15" x14ac:dyDescent="0.3">
      <c r="C54" s="52" t="s">
        <v>168</v>
      </c>
      <c r="D54" s="44" t="s">
        <v>405</v>
      </c>
      <c r="E54" s="54">
        <v>46015</v>
      </c>
    </row>
    <row r="55" spans="3:5" ht="15" x14ac:dyDescent="0.3">
      <c r="C55" s="52" t="s">
        <v>195</v>
      </c>
      <c r="D55" s="44" t="s">
        <v>405</v>
      </c>
      <c r="E55" s="54">
        <v>46016</v>
      </c>
    </row>
    <row r="56" spans="3:5" ht="15" x14ac:dyDescent="0.3">
      <c r="C56" s="52" t="s">
        <v>198</v>
      </c>
      <c r="D56" s="44" t="s">
        <v>405</v>
      </c>
      <c r="E56" s="54">
        <v>46017</v>
      </c>
    </row>
    <row r="57" spans="3:5" ht="15" x14ac:dyDescent="0.3">
      <c r="C57" s="52" t="s">
        <v>476</v>
      </c>
      <c r="D57" s="93" t="s">
        <v>409</v>
      </c>
      <c r="E57" s="54">
        <v>46075</v>
      </c>
    </row>
    <row r="58" spans="3:5" ht="15" x14ac:dyDescent="0.3">
      <c r="C58" s="52" t="s">
        <v>570</v>
      </c>
      <c r="D58" s="44" t="s">
        <v>405</v>
      </c>
      <c r="E58" s="54">
        <v>46077</v>
      </c>
    </row>
    <row r="59" spans="3:5" ht="15" x14ac:dyDescent="0.3">
      <c r="C59" s="52" t="s">
        <v>225</v>
      </c>
      <c r="D59" s="44" t="s">
        <v>405</v>
      </c>
      <c r="E59" s="54">
        <v>46020</v>
      </c>
    </row>
    <row r="60" spans="3:5" ht="15" x14ac:dyDescent="0.3">
      <c r="C60" s="52" t="s">
        <v>349</v>
      </c>
      <c r="D60" s="101" t="s">
        <v>407</v>
      </c>
      <c r="E60" s="54">
        <v>46064</v>
      </c>
    </row>
    <row r="61" spans="3:5" ht="15" x14ac:dyDescent="0.3">
      <c r="C61" s="52" t="s">
        <v>583</v>
      </c>
      <c r="D61" s="52" t="s">
        <v>413</v>
      </c>
      <c r="E61" s="54">
        <v>46099</v>
      </c>
    </row>
    <row r="62" spans="3:5" ht="15" x14ac:dyDescent="0.3">
      <c r="C62" s="52" t="s">
        <v>467</v>
      </c>
      <c r="D62" s="44" t="s">
        <v>405</v>
      </c>
      <c r="E62" s="54">
        <v>46102</v>
      </c>
    </row>
    <row r="63" spans="3:5" ht="15" x14ac:dyDescent="0.3">
      <c r="C63" s="52" t="s">
        <v>468</v>
      </c>
      <c r="D63" s="52" t="s">
        <v>469</v>
      </c>
      <c r="E63" s="54">
        <v>46109</v>
      </c>
    </row>
    <row r="64" spans="3:5" ht="15" x14ac:dyDescent="0.3">
      <c r="C64" s="52" t="s">
        <v>480</v>
      </c>
      <c r="D64" s="52" t="s">
        <v>406</v>
      </c>
      <c r="E64" s="54">
        <v>46131</v>
      </c>
    </row>
    <row r="65" spans="3:5" ht="15" x14ac:dyDescent="0.3">
      <c r="C65" s="52" t="s">
        <v>494</v>
      </c>
      <c r="D65" s="44" t="s">
        <v>405</v>
      </c>
      <c r="E65" s="54">
        <v>46132</v>
      </c>
    </row>
    <row r="66" spans="3:5" ht="15" x14ac:dyDescent="0.3">
      <c r="C66" s="52" t="s">
        <v>497</v>
      </c>
      <c r="D66" s="52" t="s">
        <v>498</v>
      </c>
      <c r="E66" s="54">
        <v>46138</v>
      </c>
    </row>
    <row r="67" spans="3:5" ht="15" x14ac:dyDescent="0.3">
      <c r="C67" s="52" t="s">
        <v>515</v>
      </c>
      <c r="D67" s="52" t="s">
        <v>410</v>
      </c>
      <c r="E67" s="54">
        <v>46143</v>
      </c>
    </row>
    <row r="68" spans="3:5" ht="15" x14ac:dyDescent="0.3">
      <c r="C68" s="52" t="s">
        <v>541</v>
      </c>
      <c r="D68" s="52" t="s">
        <v>516</v>
      </c>
      <c r="E68" s="54">
        <v>46149</v>
      </c>
    </row>
    <row r="69" spans="3:5" ht="15" x14ac:dyDescent="0.3">
      <c r="C69" s="52" t="s">
        <v>611</v>
      </c>
      <c r="D69" s="44" t="s">
        <v>405</v>
      </c>
      <c r="E69" s="54">
        <v>46179</v>
      </c>
    </row>
    <row r="71" spans="3:5" ht="15" x14ac:dyDescent="0.3">
      <c r="C71" s="52" t="s">
        <v>149</v>
      </c>
      <c r="D71" s="52" t="s">
        <v>413</v>
      </c>
      <c r="E71" s="54">
        <v>46014</v>
      </c>
    </row>
    <row r="72" spans="3:5" ht="15" x14ac:dyDescent="0.3">
      <c r="C72" s="52" t="s">
        <v>151</v>
      </c>
      <c r="D72" s="44" t="s">
        <v>405</v>
      </c>
      <c r="E72" s="54">
        <v>46014</v>
      </c>
    </row>
    <row r="73" spans="3:5" ht="15" x14ac:dyDescent="0.3">
      <c r="C73" s="52" t="s">
        <v>152</v>
      </c>
      <c r="D73" s="52" t="s">
        <v>414</v>
      </c>
      <c r="E73" s="54">
        <v>46014</v>
      </c>
    </row>
    <row r="74" spans="3:5" ht="15" x14ac:dyDescent="0.3">
      <c r="C74" s="52" t="s">
        <v>155</v>
      </c>
      <c r="D74" s="44" t="s">
        <v>405</v>
      </c>
      <c r="E74" s="54">
        <v>46014</v>
      </c>
    </row>
    <row r="75" spans="3:5" ht="15" x14ac:dyDescent="0.3">
      <c r="C75" s="52" t="s">
        <v>170</v>
      </c>
      <c r="D75" s="44" t="s">
        <v>405</v>
      </c>
      <c r="E75" s="54">
        <v>46012</v>
      </c>
    </row>
    <row r="76" spans="3:5" ht="15" x14ac:dyDescent="0.3">
      <c r="C76" s="52" t="s">
        <v>165</v>
      </c>
      <c r="D76" s="44" t="s">
        <v>405</v>
      </c>
      <c r="E76" s="54">
        <v>46015</v>
      </c>
    </row>
    <row r="77" spans="3:5" ht="15" x14ac:dyDescent="0.3">
      <c r="C77" s="52" t="s">
        <v>191</v>
      </c>
      <c r="D77" s="44" t="s">
        <v>405</v>
      </c>
      <c r="E77" s="54">
        <v>46015</v>
      </c>
    </row>
    <row r="78" spans="3:5" ht="15" x14ac:dyDescent="0.3">
      <c r="C78" s="52" t="s">
        <v>159</v>
      </c>
      <c r="D78" s="44" t="s">
        <v>405</v>
      </c>
      <c r="E78" s="54">
        <v>46074</v>
      </c>
    </row>
    <row r="79" spans="3:5" ht="15" x14ac:dyDescent="0.3">
      <c r="C79" s="52" t="s">
        <v>197</v>
      </c>
      <c r="D79" s="44" t="s">
        <v>405</v>
      </c>
      <c r="E79" s="54">
        <v>45682</v>
      </c>
    </row>
    <row r="80" spans="3:5" ht="15" x14ac:dyDescent="0.3">
      <c r="C80" s="52" t="s">
        <v>169</v>
      </c>
      <c r="D80" s="44" t="s">
        <v>405</v>
      </c>
      <c r="E80" s="54">
        <v>46018</v>
      </c>
    </row>
    <row r="81" spans="3:5" ht="15" x14ac:dyDescent="0.3">
      <c r="C81" s="52" t="s">
        <v>267</v>
      </c>
      <c r="D81" s="52" t="s">
        <v>411</v>
      </c>
      <c r="E81" s="54">
        <v>46021</v>
      </c>
    </row>
    <row r="82" spans="3:5" ht="15" x14ac:dyDescent="0.3">
      <c r="C82" s="52" t="s">
        <v>315</v>
      </c>
      <c r="D82" s="93" t="s">
        <v>409</v>
      </c>
      <c r="E82" s="54">
        <v>46044</v>
      </c>
    </row>
    <row r="83" spans="3:5" ht="15" x14ac:dyDescent="0.3">
      <c r="C83" s="52" t="s">
        <v>316</v>
      </c>
      <c r="D83" s="94" t="s">
        <v>408</v>
      </c>
      <c r="E83" s="54">
        <v>46044</v>
      </c>
    </row>
    <row r="84" spans="3:5" ht="15" x14ac:dyDescent="0.3">
      <c r="C84" s="52" t="s">
        <v>348</v>
      </c>
      <c r="D84" s="101" t="s">
        <v>407</v>
      </c>
      <c r="E84" s="54">
        <v>46059</v>
      </c>
    </row>
    <row r="85" spans="3:5" ht="15" x14ac:dyDescent="0.3">
      <c r="C85" s="52" t="s">
        <v>390</v>
      </c>
      <c r="D85" s="52" t="s">
        <v>406</v>
      </c>
      <c r="E85" s="54">
        <v>46069</v>
      </c>
    </row>
    <row r="86" spans="3:5" ht="15" x14ac:dyDescent="0.3">
      <c r="C86" s="52" t="s">
        <v>419</v>
      </c>
      <c r="D86" s="93" t="s">
        <v>409</v>
      </c>
      <c r="E86" s="54">
        <v>46070</v>
      </c>
    </row>
    <row r="87" spans="3:5" ht="15" x14ac:dyDescent="0.3">
      <c r="C87" s="52" t="s">
        <v>461</v>
      </c>
      <c r="D87" s="44" t="s">
        <v>405</v>
      </c>
      <c r="E87" s="54">
        <v>46091</v>
      </c>
    </row>
    <row r="88" spans="3:5" ht="15" x14ac:dyDescent="0.3">
      <c r="C88" s="52" t="s">
        <v>483</v>
      </c>
      <c r="D88" s="52" t="s">
        <v>414</v>
      </c>
      <c r="E88" s="54">
        <v>46131</v>
      </c>
    </row>
    <row r="89" spans="3:5" ht="15" x14ac:dyDescent="0.3">
      <c r="C89" s="52" t="s">
        <v>511</v>
      </c>
      <c r="D89" s="44" t="s">
        <v>405</v>
      </c>
      <c r="E89" s="54">
        <v>46139</v>
      </c>
    </row>
    <row r="90" spans="3:5" ht="15" x14ac:dyDescent="0.3">
      <c r="C90" s="52" t="s">
        <v>567</v>
      </c>
      <c r="D90" s="44" t="s">
        <v>405</v>
      </c>
      <c r="E90" s="54">
        <v>46158</v>
      </c>
    </row>
    <row r="91" spans="3:5" ht="15" x14ac:dyDescent="0.3">
      <c r="C91" s="52" t="s">
        <v>610</v>
      </c>
      <c r="D91" s="44" t="s">
        <v>405</v>
      </c>
      <c r="E91" s="54">
        <v>46183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2DB2-41D3-45AA-83B6-49CF11724583}">
  <dimension ref="D5:J21"/>
  <sheetViews>
    <sheetView workbookViewId="0">
      <selection activeCell="L14" sqref="L14"/>
    </sheetView>
  </sheetViews>
  <sheetFormatPr defaultRowHeight="15" x14ac:dyDescent="0.3"/>
  <cols>
    <col min="1" max="3" width="8.88671875" style="40"/>
    <col min="4" max="4" width="6.6640625" style="1" customWidth="1"/>
    <col min="5" max="5" width="45.21875" style="40" customWidth="1"/>
    <col min="6" max="6" width="12.6640625" style="1" customWidth="1"/>
    <col min="7" max="7" width="20.21875" style="40" customWidth="1"/>
    <col min="8" max="8" width="27.77734375" style="40" bestFit="1" customWidth="1"/>
    <col min="9" max="9" width="14.5546875" style="1" customWidth="1"/>
    <col min="10" max="10" width="14.33203125" style="40" customWidth="1"/>
    <col min="11" max="16384" width="8.88671875" style="40"/>
  </cols>
  <sheetData>
    <row r="5" spans="4:10" s="1" customFormat="1" ht="31.2" x14ac:dyDescent="0.3">
      <c r="D5" s="8" t="s">
        <v>0</v>
      </c>
      <c r="E5" s="8" t="s">
        <v>634</v>
      </c>
      <c r="F5" s="8" t="s">
        <v>635</v>
      </c>
      <c r="G5" s="8" t="s">
        <v>636</v>
      </c>
      <c r="H5" s="8" t="s">
        <v>637</v>
      </c>
      <c r="I5" s="8" t="s">
        <v>642</v>
      </c>
      <c r="J5" s="74"/>
    </row>
    <row r="6" spans="4:10" x14ac:dyDescent="0.3">
      <c r="D6" s="7"/>
      <c r="E6" s="52"/>
      <c r="F6" s="7"/>
      <c r="G6" s="52"/>
      <c r="H6" s="52"/>
      <c r="I6" s="7"/>
      <c r="J6" s="52"/>
    </row>
    <row r="7" spans="4:10" x14ac:dyDescent="0.3">
      <c r="D7" s="7">
        <v>1</v>
      </c>
      <c r="E7" s="190" t="s">
        <v>643</v>
      </c>
      <c r="F7" s="191">
        <v>46249</v>
      </c>
      <c r="G7" s="190" t="s">
        <v>644</v>
      </c>
      <c r="H7" s="190"/>
      <c r="I7" s="190"/>
      <c r="J7" s="190"/>
    </row>
    <row r="8" spans="4:10" x14ac:dyDescent="0.3">
      <c r="D8" s="7"/>
      <c r="E8" s="52"/>
      <c r="F8" s="200"/>
      <c r="G8" s="52"/>
      <c r="H8" s="52"/>
      <c r="I8" s="52"/>
      <c r="J8" s="52"/>
    </row>
    <row r="9" spans="4:10" x14ac:dyDescent="0.3">
      <c r="D9" s="7">
        <v>2</v>
      </c>
      <c r="E9" s="44" t="s">
        <v>638</v>
      </c>
      <c r="F9" s="192">
        <v>46249</v>
      </c>
      <c r="G9" s="44" t="s">
        <v>652</v>
      </c>
      <c r="H9" s="44" t="s">
        <v>639</v>
      </c>
      <c r="I9" s="120">
        <v>30</v>
      </c>
      <c r="J9" s="343" t="s">
        <v>662</v>
      </c>
    </row>
    <row r="10" spans="4:10" x14ac:dyDescent="0.3">
      <c r="D10" s="7">
        <v>3</v>
      </c>
      <c r="E10" s="44" t="s">
        <v>638</v>
      </c>
      <c r="F10" s="192">
        <v>46249</v>
      </c>
      <c r="G10" s="44" t="s">
        <v>653</v>
      </c>
      <c r="H10" s="44" t="s">
        <v>640</v>
      </c>
      <c r="I10" s="120">
        <v>30</v>
      </c>
      <c r="J10" s="343"/>
    </row>
    <row r="11" spans="4:10" x14ac:dyDescent="0.3">
      <c r="D11" s="7">
        <v>4</v>
      </c>
      <c r="E11" s="44" t="s">
        <v>656</v>
      </c>
      <c r="F11" s="192">
        <v>46249</v>
      </c>
      <c r="G11" s="44" t="s">
        <v>654</v>
      </c>
      <c r="H11" s="44"/>
      <c r="I11" s="120"/>
      <c r="J11" s="343"/>
    </row>
    <row r="12" spans="4:10" x14ac:dyDescent="0.3">
      <c r="D12" s="7">
        <v>5</v>
      </c>
      <c r="E12" s="44" t="s">
        <v>641</v>
      </c>
      <c r="F12" s="192">
        <v>46249</v>
      </c>
      <c r="G12" s="44" t="s">
        <v>655</v>
      </c>
      <c r="H12" s="44"/>
      <c r="I12" s="120"/>
      <c r="J12" s="343"/>
    </row>
    <row r="13" spans="4:10" ht="5.4" customHeight="1" x14ac:dyDescent="0.3">
      <c r="D13" s="198"/>
      <c r="E13" s="199"/>
      <c r="F13" s="198"/>
      <c r="G13" s="199"/>
      <c r="H13" s="199"/>
      <c r="I13" s="198"/>
      <c r="J13" s="199"/>
    </row>
    <row r="14" spans="4:10" ht="45" x14ac:dyDescent="0.3">
      <c r="D14" s="7">
        <v>1</v>
      </c>
      <c r="E14" s="33" t="s">
        <v>519</v>
      </c>
      <c r="F14" s="193">
        <v>46250</v>
      </c>
      <c r="G14" s="33" t="s">
        <v>649</v>
      </c>
      <c r="H14" s="33" t="s">
        <v>659</v>
      </c>
      <c r="I14" s="27">
        <v>10</v>
      </c>
      <c r="J14" s="27" t="s">
        <v>663</v>
      </c>
    </row>
    <row r="15" spans="4:10" x14ac:dyDescent="0.3">
      <c r="D15" s="7"/>
      <c r="E15" s="52"/>
      <c r="F15" s="200"/>
      <c r="G15" s="52"/>
      <c r="H15" s="52"/>
      <c r="I15" s="7"/>
      <c r="J15" s="52"/>
    </row>
    <row r="16" spans="4:10" x14ac:dyDescent="0.3">
      <c r="D16" s="7">
        <v>2</v>
      </c>
      <c r="E16" s="195" t="s">
        <v>650</v>
      </c>
      <c r="F16" s="196">
        <v>46250</v>
      </c>
      <c r="G16" s="195" t="s">
        <v>651</v>
      </c>
      <c r="H16" s="195"/>
      <c r="I16" s="5"/>
      <c r="J16" s="195"/>
    </row>
    <row r="17" spans="4:10" x14ac:dyDescent="0.3">
      <c r="D17" s="7">
        <v>3</v>
      </c>
      <c r="E17" s="195" t="s">
        <v>660</v>
      </c>
      <c r="F17" s="196">
        <v>46250</v>
      </c>
      <c r="G17" s="197" t="s">
        <v>661</v>
      </c>
      <c r="H17" s="195"/>
      <c r="I17" s="5"/>
      <c r="J17" s="195"/>
    </row>
    <row r="18" spans="4:10" x14ac:dyDescent="0.3">
      <c r="D18" s="7"/>
      <c r="E18" s="52"/>
      <c r="F18" s="200"/>
      <c r="G18" s="201"/>
      <c r="H18" s="52"/>
      <c r="I18" s="7"/>
      <c r="J18" s="52"/>
    </row>
    <row r="19" spans="4:10" x14ac:dyDescent="0.3">
      <c r="D19" s="7">
        <v>4</v>
      </c>
      <c r="E19" s="44" t="s">
        <v>645</v>
      </c>
      <c r="F19" s="192">
        <v>46250</v>
      </c>
      <c r="G19" s="194" t="s">
        <v>647</v>
      </c>
      <c r="H19" s="44"/>
      <c r="I19" s="120"/>
      <c r="J19" s="344" t="s">
        <v>664</v>
      </c>
    </row>
    <row r="20" spans="4:10" x14ac:dyDescent="0.3">
      <c r="D20" s="7">
        <v>5</v>
      </c>
      <c r="E20" s="44" t="s">
        <v>646</v>
      </c>
      <c r="F20" s="192">
        <v>46250</v>
      </c>
      <c r="G20" s="44" t="s">
        <v>648</v>
      </c>
      <c r="H20" s="44"/>
      <c r="I20" s="120"/>
      <c r="J20" s="345"/>
    </row>
    <row r="21" spans="4:10" x14ac:dyDescent="0.3">
      <c r="D21" s="7">
        <v>6</v>
      </c>
      <c r="E21" s="44" t="s">
        <v>657</v>
      </c>
      <c r="F21" s="192">
        <v>46250</v>
      </c>
      <c r="G21" s="44" t="s">
        <v>658</v>
      </c>
      <c r="H21" s="44"/>
      <c r="I21" s="120"/>
      <c r="J21" s="346"/>
    </row>
  </sheetData>
  <mergeCells count="2">
    <mergeCell ref="J9:J12"/>
    <mergeCell ref="J19:J21"/>
  </mergeCells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Registered Authors</vt:lpstr>
      <vt:lpstr>Event Statistics</vt:lpstr>
      <vt:lpstr>List of Books</vt:lpstr>
      <vt:lpstr>Authors offerings</vt:lpstr>
      <vt:lpstr>Books for first three Airports</vt:lpstr>
      <vt:lpstr>Books for Mangalore Airport </vt:lpstr>
      <vt:lpstr>Goa Book Fair</vt:lpstr>
      <vt:lpstr>Dehradun Book Fair</vt:lpstr>
      <vt:lpstr>Kolkata Airport</vt:lpstr>
      <vt:lpstr>Trivendrum Airport </vt:lpstr>
      <vt:lpstr>Old Data</vt:lpstr>
      <vt:lpstr>Srinagar Book Fair</vt:lpstr>
      <vt:lpstr>Pune Airport Flybrary</vt:lpstr>
      <vt:lpstr>List of Participants</vt:lpstr>
      <vt:lpstr>Event Payment Tracker</vt:lpstr>
      <vt:lpstr>Working Sheet</vt:lpstr>
      <vt:lpstr>Sheet1</vt:lpstr>
      <vt:lpstr>'Srinagar Book Fair'!sum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Shiv Mathur</cp:lastModifiedBy>
  <cp:lastPrinted>2025-12-23T21:27:42Z</cp:lastPrinted>
  <dcterms:created xsi:type="dcterms:W3CDTF">2015-06-05T18:17:20Z</dcterms:created>
  <dcterms:modified xsi:type="dcterms:W3CDTF">2026-06-20T17:57:10Z</dcterms:modified>
</cp:coreProperties>
</file>